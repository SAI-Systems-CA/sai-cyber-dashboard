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520" yWindow="-16320" windowWidth="38640" windowHeight="15720" tabRatio="500" firstSheet="0" activeTab="1" autoFilterDateGrouping="1"/>
  </bookViews>
  <sheets>
    <sheet xmlns:r="http://schemas.openxmlformats.org/officeDocument/2006/relationships" name="Daily Summary" sheetId="1" state="visible" r:id="rId1"/>
    <sheet xmlns:r="http://schemas.openxmlformats.org/officeDocument/2006/relationships" name="NIST AI RMF" sheetId="2" state="visible" r:id="rId2"/>
    <sheet xmlns:r="http://schemas.openxmlformats.org/officeDocument/2006/relationships" name="NIST 800-53" sheetId="3" state="visible" r:id="rId3"/>
    <sheet xmlns:r="http://schemas.openxmlformats.org/officeDocument/2006/relationships" name="ISO 27001-27002" sheetId="4" state="visible" r:id="rId4"/>
    <sheet xmlns:r="http://schemas.openxmlformats.org/officeDocument/2006/relationships" name="ITSG-33" sheetId="5" state="visible" r:id="rId5"/>
    <sheet xmlns:r="http://schemas.openxmlformats.org/officeDocument/2006/relationships" name="Huang et al. Risk Map" sheetId="6" state="visible" r:id="rId6"/>
    <sheet xmlns:r="http://schemas.openxmlformats.org/officeDocument/2006/relationships" name="Dashboard" sheetId="7" state="visible" r:id="rId7"/>
  </sheets>
  <definedNames/>
  <calcPr calcId="191029"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charset val="1"/>
      <b val="1"/>
      <color rgb="FFFFFFFF"/>
      <sz val="11"/>
    </font>
    <font>
      <name val="Arial"/>
      <charset val="1"/>
      <sz val="10"/>
    </font>
    <font>
      <name val="Arial"/>
      <charset val="1"/>
      <b val="1"/>
      <color rgb="FFFFFFFF"/>
      <sz val="10"/>
    </font>
    <font>
      <name val="Arial"/>
      <charset val="1"/>
      <b val="1"/>
      <color rgb="FFFFFFFF"/>
      <sz val="14"/>
    </font>
    <font>
      <name val="Arial"/>
      <charset val="1"/>
      <b val="1"/>
      <sz val="11"/>
    </font>
  </fonts>
  <fills count="8">
    <fill>
      <patternFill/>
    </fill>
    <fill>
      <patternFill patternType="gray125"/>
    </fill>
    <fill>
      <patternFill patternType="solid">
        <fgColor rgb="FF1B2A4A"/>
        <bgColor rgb="FF003366"/>
      </patternFill>
    </fill>
    <fill>
      <patternFill patternType="solid">
        <fgColor rgb="FF8B0000"/>
        <bgColor rgb="FF800000"/>
      </patternFill>
    </fill>
    <fill>
      <patternFill patternType="solid">
        <fgColor rgb="FFFFA500"/>
        <bgColor rgb="FFFFCC00"/>
      </patternFill>
    </fill>
    <fill>
      <patternFill patternType="solid">
        <fgColor rgb="FFFFFF00"/>
        <bgColor rgb="FFFFFF00"/>
      </patternFill>
    </fill>
    <fill>
      <patternFill patternType="solid">
        <fgColor rgb="FFADD8E6"/>
        <bgColor rgb="FFD3D3D3"/>
      </patternFill>
    </fill>
    <fill>
      <patternFill patternType="solid">
        <fgColor rgb="FFD3D3D3"/>
        <bgColor rgb="FFC0C0C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pivotButton="0" quotePrefix="0" xfId="0"/>
    <xf numFmtId="0" fontId="4"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2" fillId="0" borderId="1" pivotButton="0" quotePrefix="0" xfId="0"/>
    <xf numFmtId="0" fontId="3" fillId="3" borderId="1" pivotButton="0" quotePrefix="0" xfId="0"/>
    <xf numFmtId="0" fontId="3" fillId="4" borderId="1" pivotButton="0" quotePrefix="0" xfId="0"/>
    <xf numFmtId="0" fontId="3" fillId="5" borderId="1" pivotButton="0" quotePrefix="0" xfId="0"/>
    <xf numFmtId="0" fontId="3" fillId="6" borderId="1" pivotButton="0" quotePrefix="0" xfId="0"/>
    <xf numFmtId="0" fontId="5" fillId="0" borderId="0" pivotButton="0" quotePrefix="0" xfId="0"/>
    <xf numFmtId="0" fontId="5" fillId="7"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ADD8E6"/>
      <rgbColor rgb="FFFF99CC"/>
      <rgbColor rgb="FFCC99FF"/>
      <rgbColor rgb="FFFFCC99"/>
      <rgbColor rgb="FF3366FF"/>
      <rgbColor rgb="FF33CCCC"/>
      <rgbColor rgb="FF99CC00"/>
      <rgbColor rgb="FFFFCC00"/>
      <rgbColor rgb="FFFFA500"/>
      <rgbColor rgb="FFFF6600"/>
      <rgbColor rgb="FF666699"/>
      <rgbColor rgb="FF969696"/>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4"/>
  <sheetViews>
    <sheetView zoomScaleNormal="100" workbookViewId="0">
      <pane ySplit="1" topLeftCell="A2" activePane="bottomLeft" state="frozen"/>
      <selection pane="bottomLeft" activeCell="M2" sqref="M2"/>
    </sheetView>
  </sheetViews>
  <sheetFormatPr baseColWidth="8" defaultColWidth="8.6328125" defaultRowHeight="14.5"/>
  <cols>
    <col width="12" customWidth="1" min="1" max="1"/>
    <col width="15" customWidth="1" min="2" max="2"/>
    <col width="18" customWidth="1" min="3" max="4"/>
    <col width="35" customWidth="1" min="5" max="6"/>
    <col width="12" customWidth="1" min="7" max="7"/>
    <col width="15" customWidth="1" min="8" max="8"/>
    <col width="20" customWidth="1" min="9" max="9"/>
    <col width="18" customWidth="1" min="10" max="10"/>
    <col width="15" customWidth="1" min="11" max="11"/>
    <col width="18" customWidth="1" min="12" max="12"/>
    <col width="25" customWidth="1" min="13" max="13"/>
    <col width="20" customWidth="1" min="14" max="14"/>
    <col width="15" customWidth="1" min="15" max="15"/>
    <col width="20" customWidth="1" min="16" max="16"/>
    <col width="15" customWidth="1" min="17" max="18"/>
    <col width="20" customWidth="1" min="19" max="19"/>
  </cols>
  <sheetData>
    <row r="1" ht="28" customHeight="1">
      <c r="A1" s="2" t="inlineStr">
        <is>
          <t>Date</t>
        </is>
      </c>
      <c r="B1" s="2" t="inlineStr">
        <is>
          <t>Item ID</t>
        </is>
      </c>
      <c r="C1" s="2" t="inlineStr">
        <is>
          <t>Category</t>
        </is>
      </c>
      <c r="D1" s="2" t="inlineStr">
        <is>
          <t>Sub-Category</t>
        </is>
      </c>
      <c r="E1" s="2" t="inlineStr">
        <is>
          <t>Threat/Item Title</t>
        </is>
      </c>
      <c r="F1" s="2" t="inlineStr">
        <is>
          <t>Description</t>
        </is>
      </c>
      <c r="G1" s="2" t="inlineStr">
        <is>
          <t>Severity</t>
        </is>
      </c>
      <c r="H1" s="2" t="inlineStr">
        <is>
          <t>Threat Actor</t>
        </is>
      </c>
      <c r="I1" s="2" t="inlineStr">
        <is>
          <t>Affected Component</t>
        </is>
      </c>
      <c r="J1" s="2" t="inlineStr">
        <is>
          <t>Supply Chain Stage</t>
        </is>
      </c>
      <c r="K1" s="2" t="inlineStr">
        <is>
          <t>Risk Type</t>
        </is>
      </c>
      <c r="L1" s="2" t="inlineStr">
        <is>
          <t>NIST AI RMF Function</t>
        </is>
      </c>
      <c r="M1" s="2" t="inlineStr">
        <is>
          <t>NIST 800-53 Control Family</t>
        </is>
      </c>
      <c r="N1" s="2" t="inlineStr">
        <is>
          <t>ISO 27001/27002 Control</t>
        </is>
      </c>
      <c r="O1" s="2" t="inlineStr">
        <is>
          <t>ITSG-33 Control</t>
        </is>
      </c>
      <c r="P1" s="2" t="inlineStr">
        <is>
          <t>Source/Reference</t>
        </is>
      </c>
      <c r="Q1" s="2" t="inlineStr">
        <is>
          <t>Response Action</t>
        </is>
      </c>
      <c r="R1" s="2" t="inlineStr">
        <is>
          <t>Response Date</t>
        </is>
      </c>
      <c r="S1" s="2" t="inlineStr">
        <is>
          <t>Assessor Notes</t>
        </is>
      </c>
    </row>
    <row r="2" ht="25" customHeight="1">
      <c r="A2" t="inlineStr">
        <is>
          <t>2026-04-07</t>
        </is>
      </c>
      <c r="B2" t="inlineStr">
        <is>
          <t>2026-0407-001</t>
        </is>
      </c>
      <c r="C2" t="inlineStr">
        <is>
          <t>AI/LLM Threat</t>
        </is>
      </c>
      <c r="D2" t="inlineStr">
        <is>
          <t>Agent Security</t>
        </is>
      </c>
      <c r="E2" t="inlineStr">
        <is>
          <t>OpenClaw AI Agent Framework Compromise</t>
        </is>
      </c>
      <c r="F2" t="inlineStr">
        <is>
          <t>Security vulnerability in AI agent framework third-party libraries</t>
        </is>
      </c>
      <c r="G2" t="inlineStr">
        <is>
          <t>CRITICAL</t>
        </is>
      </c>
      <c r="H2" t="inlineStr">
        <is>
          <t>UNC/Unknown</t>
        </is>
      </c>
      <c r="I2" t="inlineStr">
        <is>
          <t>Third-party Libraries</t>
        </is>
      </c>
      <c r="J2" t="inlineStr">
        <is>
          <t>Deployment</t>
        </is>
      </c>
      <c r="K2" t="inlineStr">
        <is>
          <t>Security Risk</t>
        </is>
      </c>
      <c r="L2" t="inlineStr">
        <is>
          <t>Map</t>
        </is>
      </c>
      <c r="M2" t="inlineStr">
        <is>
          <t>SA-12,SR-3</t>
        </is>
      </c>
      <c r="N2" t="inlineStr">
        <is>
          <t>A.15.1</t>
        </is>
      </c>
      <c r="O2" t="inlineStr">
        <is>
          <t>SA-12</t>
        </is>
      </c>
      <c r="P2" t="inlineStr">
        <is>
          <t>Internal Intelligence</t>
        </is>
      </c>
      <c r="Q2" t="inlineStr">
        <is>
          <t>Investigate</t>
        </is>
      </c>
    </row>
    <row r="3" ht="25" customHeight="1">
      <c r="A3" t="inlineStr">
        <is>
          <t>2026-04-07</t>
        </is>
      </c>
      <c r="B3" t="inlineStr">
        <is>
          <t>2026-0407-002</t>
        </is>
      </c>
      <c r="C3" t="inlineStr">
        <is>
          <t>AI/LLM Threat</t>
        </is>
      </c>
      <c r="D3" t="inlineStr">
        <is>
          <t>Backdoor Attack</t>
        </is>
      </c>
      <c r="E3" t="inlineStr">
        <is>
          <t>LiteLLM CI Pipeline Backdoor</t>
        </is>
      </c>
      <c r="F3" t="inlineStr">
        <is>
          <t>Backdoor detected in LiteLLM CI/CD pipeline</t>
        </is>
      </c>
      <c r="G3" t="inlineStr">
        <is>
          <t>CRITICAL</t>
        </is>
      </c>
      <c r="H3" t="inlineStr">
        <is>
          <t>Unknown</t>
        </is>
      </c>
      <c r="I3" t="inlineStr">
        <is>
          <t>Code</t>
        </is>
      </c>
      <c r="J3" t="inlineStr">
        <is>
          <t>Delivery</t>
        </is>
      </c>
      <c r="K3" t="inlineStr">
        <is>
          <t>Security Risk</t>
        </is>
      </c>
      <c r="L3" t="inlineStr">
        <is>
          <t>Manage</t>
        </is>
      </c>
      <c r="M3" t="inlineStr">
        <is>
          <t>SA-11,SA-12</t>
        </is>
      </c>
      <c r="N3" t="inlineStr">
        <is>
          <t>A.14.2.7</t>
        </is>
      </c>
      <c r="O3" t="inlineStr">
        <is>
          <t>SA-11</t>
        </is>
      </c>
      <c r="P3" t="inlineStr">
        <is>
          <t>GitHub Advisory</t>
        </is>
      </c>
      <c r="Q3" t="inlineStr">
        <is>
          <t>Escalate</t>
        </is>
      </c>
    </row>
    <row r="4" ht="25" customHeight="1">
      <c r="A4" t="inlineStr">
        <is>
          <t>2026-04-07</t>
        </is>
      </c>
      <c r="B4" t="inlineStr">
        <is>
          <t>2026-0407-003</t>
        </is>
      </c>
      <c r="C4" t="inlineStr">
        <is>
          <t>AI/LLM Threat</t>
        </is>
      </c>
      <c r="D4" t="inlineStr">
        <is>
          <t>Zero-Day</t>
        </is>
      </c>
      <c r="E4" t="inlineStr">
        <is>
          <t>Langflow Zero-Auth Compromise</t>
        </is>
      </c>
      <c r="F4" t="inlineStr">
        <is>
          <t>Zero-day authentication bypass in Langflow platform</t>
        </is>
      </c>
      <c r="G4" t="inlineStr">
        <is>
          <t>HIGH</t>
        </is>
      </c>
      <c r="H4" t="inlineStr">
        <is>
          <t>Unknown</t>
        </is>
      </c>
      <c r="I4" t="inlineStr">
        <is>
          <t>Platform</t>
        </is>
      </c>
      <c r="J4" t="inlineStr">
        <is>
          <t>Deployment</t>
        </is>
      </c>
      <c r="K4" t="inlineStr">
        <is>
          <t>Security Risk</t>
        </is>
      </c>
      <c r="L4" t="inlineStr">
        <is>
          <t>Map</t>
        </is>
      </c>
      <c r="M4" t="inlineStr">
        <is>
          <t>AC-3,SI-2</t>
        </is>
      </c>
      <c r="N4" t="inlineStr">
        <is>
          <t>A.9.4</t>
        </is>
      </c>
      <c r="O4" t="inlineStr">
        <is>
          <t>AC-3</t>
        </is>
      </c>
      <c r="P4" t="inlineStr">
        <is>
          <t>Security Research</t>
        </is>
      </c>
      <c r="Q4" t="inlineStr">
        <is>
          <t>Investigate</t>
        </is>
      </c>
    </row>
    <row r="5" ht="25" customHeight="1">
      <c r="A5" t="inlineStr">
        <is>
          <t>2026-04-07</t>
        </is>
      </c>
      <c r="B5" t="inlineStr">
        <is>
          <t>2026-0407-004</t>
        </is>
      </c>
      <c r="C5" t="inlineStr">
        <is>
          <t>AI/LLM Threat</t>
        </is>
      </c>
      <c r="D5" t="inlineStr">
        <is>
          <t>Prompt Injection</t>
        </is>
      </c>
      <c r="E5" t="inlineStr">
        <is>
          <t>Prompt Injection 73% Production Rate</t>
        </is>
      </c>
      <c r="F5" t="inlineStr">
        <is>
          <t>High rate of prompt injection attacks in production environments</t>
        </is>
      </c>
      <c r="G5" t="inlineStr">
        <is>
          <t>HIGH</t>
        </is>
      </c>
      <c r="H5" t="inlineStr">
        <is>
          <t>N/A</t>
        </is>
      </c>
      <c r="I5" t="inlineStr">
        <is>
          <t>Prompt</t>
        </is>
      </c>
      <c r="J5" t="inlineStr">
        <is>
          <t>All Stages</t>
        </is>
      </c>
      <c r="K5" t="inlineStr">
        <is>
          <t>Security Risk</t>
        </is>
      </c>
      <c r="L5" t="inlineStr">
        <is>
          <t>Measure</t>
        </is>
      </c>
      <c r="M5" t="inlineStr">
        <is>
          <t>SI-10</t>
        </is>
      </c>
      <c r="N5" t="inlineStr">
        <is>
          <t>A.14.2.5</t>
        </is>
      </c>
      <c r="O5" t="inlineStr">
        <is>
          <t>SI-10</t>
        </is>
      </c>
      <c r="P5" t="inlineStr">
        <is>
          <t>Industry Report</t>
        </is>
      </c>
      <c r="Q5" t="inlineStr">
        <is>
          <t>Monitor</t>
        </is>
      </c>
    </row>
    <row r="6" ht="25" customHeight="1">
      <c r="A6" t="inlineStr">
        <is>
          <t>2026-04-07</t>
        </is>
      </c>
      <c r="B6" t="inlineStr">
        <is>
          <t>2026-0407-005</t>
        </is>
      </c>
      <c r="C6" t="inlineStr">
        <is>
          <t>AI/LLM Threat</t>
        </is>
      </c>
      <c r="D6" t="inlineStr">
        <is>
          <t>MCP Vulnerability</t>
        </is>
      </c>
      <c r="E6" t="inlineStr">
        <is>
          <t>MCP Security Vulnerabilities</t>
        </is>
      </c>
      <c r="F6" t="inlineStr">
        <is>
          <t>Model Context Protocol security issues identified</t>
        </is>
      </c>
      <c r="G6" t="inlineStr">
        <is>
          <t>HIGH</t>
        </is>
      </c>
      <c r="H6" t="inlineStr">
        <is>
          <t>N/A</t>
        </is>
      </c>
      <c r="I6" t="inlineStr">
        <is>
          <t>Toolchain</t>
        </is>
      </c>
      <c r="J6" t="inlineStr">
        <is>
          <t>Deployment</t>
        </is>
      </c>
      <c r="K6" t="inlineStr">
        <is>
          <t>Security Risk</t>
        </is>
      </c>
      <c r="L6" t="inlineStr">
        <is>
          <t>Map</t>
        </is>
      </c>
      <c r="M6" t="inlineStr">
        <is>
          <t>SA-12,SI-7</t>
        </is>
      </c>
      <c r="N6" t="inlineStr">
        <is>
          <t>A.14.2.5</t>
        </is>
      </c>
      <c r="O6" t="inlineStr">
        <is>
          <t>SA-12</t>
        </is>
      </c>
      <c r="P6" t="inlineStr">
        <is>
          <t>Security Bulletin</t>
        </is>
      </c>
      <c r="Q6" t="inlineStr">
        <is>
          <t>Monitor</t>
        </is>
      </c>
    </row>
    <row r="7" ht="25" customHeight="1">
      <c r="A7" t="inlineStr">
        <is>
          <t>2026-04-07</t>
        </is>
      </c>
      <c r="B7" t="inlineStr">
        <is>
          <t>2026-0407-006</t>
        </is>
      </c>
      <c r="C7" t="inlineStr">
        <is>
          <t>AI/LLM Threat</t>
        </is>
      </c>
      <c r="D7" t="inlineStr">
        <is>
          <t>RAG Poisoning</t>
        </is>
      </c>
      <c r="E7" t="inlineStr">
        <is>
          <t>RAG Poisoning Attacks</t>
        </is>
      </c>
      <c r="F7" t="inlineStr">
        <is>
          <t>Data poisoning attacks targeting RAG systems</t>
        </is>
      </c>
      <c r="G7" t="inlineStr">
        <is>
          <t>MEDIUM</t>
        </is>
      </c>
      <c r="H7" t="inlineStr">
        <is>
          <t>N/A</t>
        </is>
      </c>
      <c r="I7" t="inlineStr">
        <is>
          <t>Data</t>
        </is>
      </c>
      <c r="J7" t="inlineStr">
        <is>
          <t>Training</t>
        </is>
      </c>
      <c r="K7" t="inlineStr">
        <is>
          <t>Privacy Risk</t>
        </is>
      </c>
      <c r="L7" t="inlineStr">
        <is>
          <t>Measure</t>
        </is>
      </c>
      <c r="M7" t="inlineStr">
        <is>
          <t>SI-7,SI-10</t>
        </is>
      </c>
      <c r="N7" t="inlineStr">
        <is>
          <t>A.14.1.2</t>
        </is>
      </c>
      <c r="O7" t="inlineStr">
        <is>
          <t>SI-7</t>
        </is>
      </c>
      <c r="P7" t="inlineStr">
        <is>
          <t>Research Paper</t>
        </is>
      </c>
      <c r="Q7" t="inlineStr">
        <is>
          <t>Monitor</t>
        </is>
      </c>
    </row>
    <row r="8" ht="25" customHeight="1">
      <c r="A8" t="inlineStr">
        <is>
          <t>2026-04-07</t>
        </is>
      </c>
      <c r="B8" t="inlineStr">
        <is>
          <t>2026-0407-007</t>
        </is>
      </c>
      <c r="C8" t="inlineStr">
        <is>
          <t>Supply Chain</t>
        </is>
      </c>
      <c r="D8" t="inlineStr">
        <is>
          <t>Social Engineering</t>
        </is>
      </c>
      <c r="E8" t="inlineStr">
        <is>
          <t>Drift Protocol $285M Theft (DPRK)</t>
        </is>
      </c>
      <c r="F8" t="inlineStr">
        <is>
          <t>Social engineering attack leading to major cryptocurrency theft attributed to DPRK</t>
        </is>
      </c>
      <c r="G8" t="inlineStr">
        <is>
          <t>CRITICAL</t>
        </is>
      </c>
      <c r="H8" t="inlineStr">
        <is>
          <t>UNC4736/DPRK</t>
        </is>
      </c>
      <c r="I8" t="inlineStr">
        <is>
          <t>Application</t>
        </is>
      </c>
      <c r="J8" t="inlineStr">
        <is>
          <t>Delivery</t>
        </is>
      </c>
      <c r="K8" t="inlineStr">
        <is>
          <t>Security Risk</t>
        </is>
      </c>
      <c r="L8" t="inlineStr">
        <is>
          <t>Manage</t>
        </is>
      </c>
      <c r="M8" t="inlineStr">
        <is>
          <t>IR-4,SC-7</t>
        </is>
      </c>
      <c r="N8" t="inlineStr">
        <is>
          <t>A.16.1</t>
        </is>
      </c>
      <c r="O8" t="inlineStr">
        <is>
          <t>IR-4</t>
        </is>
      </c>
      <c r="P8" t="inlineStr">
        <is>
          <t>Threat Intelligence</t>
        </is>
      </c>
      <c r="Q8" t="inlineStr">
        <is>
          <t>Escalate</t>
        </is>
      </c>
    </row>
    <row r="9" ht="25" customHeight="1">
      <c r="A9" t="inlineStr">
        <is>
          <t>2026-04-07</t>
        </is>
      </c>
      <c r="B9" t="inlineStr">
        <is>
          <t>2026-0407-008</t>
        </is>
      </c>
      <c r="C9" t="inlineStr">
        <is>
          <t>Cloud Security</t>
        </is>
      </c>
      <c r="D9" t="inlineStr">
        <is>
          <t>Credential Attack</t>
        </is>
      </c>
      <c r="E9" t="inlineStr">
        <is>
          <t>Snowflake Mass Breach</t>
        </is>
      </c>
      <c r="F9" t="inlineStr">
        <is>
          <t>Credential attack against Snowflake instances affecting multiple organizations</t>
        </is>
      </c>
      <c r="G9" t="inlineStr">
        <is>
          <t>CRITICAL</t>
        </is>
      </c>
      <c r="H9" t="inlineStr">
        <is>
          <t>Scattered Spider</t>
        </is>
      </c>
      <c r="I9" t="inlineStr">
        <is>
          <t>Platform</t>
        </is>
      </c>
      <c r="J9" t="inlineStr">
        <is>
          <t>Deployment</t>
        </is>
      </c>
      <c r="K9" t="inlineStr">
        <is>
          <t>Privacy Risk</t>
        </is>
      </c>
      <c r="L9" t="inlineStr">
        <is>
          <t>Manage</t>
        </is>
      </c>
      <c r="M9" t="inlineStr">
        <is>
          <t>IA-2,IA-5</t>
        </is>
      </c>
      <c r="N9" t="inlineStr">
        <is>
          <t>A.9.4</t>
        </is>
      </c>
      <c r="O9" t="inlineStr">
        <is>
          <t>IA-2</t>
        </is>
      </c>
      <c r="P9" t="inlineStr">
        <is>
          <t>Security Alert</t>
        </is>
      </c>
      <c r="Q9" t="inlineStr">
        <is>
          <t>Escalate</t>
        </is>
      </c>
    </row>
    <row r="10" ht="25" customHeight="1">
      <c r="A10" t="inlineStr">
        <is>
          <t>2026-04-07</t>
        </is>
      </c>
      <c r="B10" t="inlineStr">
        <is>
          <t>2026-0407-009</t>
        </is>
      </c>
      <c r="C10" t="inlineStr">
        <is>
          <t>Cloud Security</t>
        </is>
      </c>
      <c r="D10" t="inlineStr">
        <is>
          <t>Zero-Day</t>
        </is>
      </c>
      <c r="E10" t="inlineStr">
        <is>
          <t>Fortinet FortiClient EMS Zero-Day</t>
        </is>
      </c>
      <c r="F10" t="inlineStr">
        <is>
          <t>Critical zero-day vulnerability in Fortinet FortiClient EMS</t>
        </is>
      </c>
      <c r="G10" t="inlineStr">
        <is>
          <t>CRITICAL</t>
        </is>
      </c>
      <c r="H10" t="inlineStr">
        <is>
          <t>Unknown</t>
        </is>
      </c>
      <c r="I10" t="inlineStr">
        <is>
          <t>Platform</t>
        </is>
      </c>
      <c r="J10" t="inlineStr">
        <is>
          <t>Deployment</t>
        </is>
      </c>
      <c r="K10" t="inlineStr">
        <is>
          <t>Security Risk</t>
        </is>
      </c>
      <c r="L10" t="inlineStr">
        <is>
          <t>Manage</t>
        </is>
      </c>
      <c r="M10" t="inlineStr">
        <is>
          <t>SI-2,SI-5</t>
        </is>
      </c>
      <c r="N10" t="inlineStr">
        <is>
          <t>A.12.6</t>
        </is>
      </c>
      <c r="O10" t="inlineStr">
        <is>
          <t>SI-2</t>
        </is>
      </c>
      <c r="P10" t="inlineStr">
        <is>
          <t>Fortinet Security Advisory</t>
        </is>
      </c>
      <c r="Q10" t="inlineStr">
        <is>
          <t>Escalate</t>
        </is>
      </c>
    </row>
    <row r="11" ht="37.5" customHeight="1">
      <c r="A11" t="inlineStr">
        <is>
          <t>2026-04-07</t>
        </is>
      </c>
      <c r="B11" t="inlineStr">
        <is>
          <t>2026-0407-010</t>
        </is>
      </c>
      <c r="C11" t="inlineStr">
        <is>
          <t>Cloud Security</t>
        </is>
      </c>
      <c r="D11" t="inlineStr">
        <is>
          <t>Misconfiguration</t>
        </is>
      </c>
      <c r="E11" t="inlineStr">
        <is>
          <t>97% Cloud-Native Incidents (Red Hat)</t>
        </is>
      </c>
      <c r="F11" t="inlineStr">
        <is>
          <t>Red Hat reports 97% of cloud-native security incidents stem from misconfiguration</t>
        </is>
      </c>
      <c r="G11" t="inlineStr">
        <is>
          <t>HIGH</t>
        </is>
      </c>
      <c r="H11" t="inlineStr">
        <is>
          <t>N/A</t>
        </is>
      </c>
      <c r="I11" t="inlineStr">
        <is>
          <t>Platform</t>
        </is>
      </c>
      <c r="J11" t="inlineStr">
        <is>
          <t>All Stages</t>
        </is>
      </c>
      <c r="K11" t="inlineStr">
        <is>
          <t>Security Risk</t>
        </is>
      </c>
      <c r="L11" t="inlineStr">
        <is>
          <t>Govern</t>
        </is>
      </c>
      <c r="M11" t="inlineStr">
        <is>
          <t>CM-6,CM-7</t>
        </is>
      </c>
      <c r="N11" t="inlineStr">
        <is>
          <t>A.12.1</t>
        </is>
      </c>
      <c r="O11" t="inlineStr">
        <is>
          <t>CM-6</t>
        </is>
      </c>
      <c r="P11" t="inlineStr">
        <is>
          <t>Red Hat Report</t>
        </is>
      </c>
      <c r="Q11" t="inlineStr">
        <is>
          <t>Monitor</t>
        </is>
      </c>
    </row>
    <row r="12" ht="37.5" customHeight="1">
      <c r="A12" t="inlineStr">
        <is>
          <t>2026-04-07</t>
        </is>
      </c>
      <c r="B12" t="inlineStr">
        <is>
          <t>2026-0407-011</t>
        </is>
      </c>
      <c r="C12" t="inlineStr">
        <is>
          <t>Cloud Security</t>
        </is>
      </c>
      <c r="D12" t="inlineStr">
        <is>
          <t>Credential Attack</t>
        </is>
      </c>
      <c r="E12" t="inlineStr">
        <is>
          <t>Iran Password Spraying M365</t>
        </is>
      </c>
      <c r="F12" t="inlineStr">
        <is>
          <t>Iran-nexus threat actor conducting password spraying attacks against Microsoft 365</t>
        </is>
      </c>
      <c r="G12" t="inlineStr">
        <is>
          <t>HIGH</t>
        </is>
      </c>
      <c r="H12" t="inlineStr">
        <is>
          <t>Iran-nexus</t>
        </is>
      </c>
      <c r="I12" t="inlineStr">
        <is>
          <t>Application</t>
        </is>
      </c>
      <c r="J12" t="inlineStr">
        <is>
          <t>Delivery</t>
        </is>
      </c>
      <c r="K12" t="inlineStr">
        <is>
          <t>Security Risk</t>
        </is>
      </c>
      <c r="L12" t="inlineStr">
        <is>
          <t>Manage</t>
        </is>
      </c>
      <c r="M12" t="inlineStr">
        <is>
          <t>IA-5,SI-4</t>
        </is>
      </c>
      <c r="N12" t="inlineStr">
        <is>
          <t>A.9.4</t>
        </is>
      </c>
      <c r="O12" t="inlineStr">
        <is>
          <t>IA-5</t>
        </is>
      </c>
      <c r="P12" t="inlineStr">
        <is>
          <t>CISA Alert</t>
        </is>
      </c>
      <c r="Q12" t="inlineStr">
        <is>
          <t>Monitor</t>
        </is>
      </c>
    </row>
    <row r="13" ht="25" customHeight="1">
      <c r="A13" t="inlineStr">
        <is>
          <t>2026-04-07</t>
        </is>
      </c>
      <c r="B13" t="inlineStr">
        <is>
          <t>2026-0407-012</t>
        </is>
      </c>
      <c r="C13" t="inlineStr">
        <is>
          <t>General Cyber</t>
        </is>
      </c>
      <c r="D13" t="inlineStr">
        <is>
          <t>Zero-Day</t>
        </is>
      </c>
      <c r="E13" t="inlineStr">
        <is>
          <t>Flowise AI Platform Flaw</t>
        </is>
      </c>
      <c r="F13" t="inlineStr">
        <is>
          <t>Zero-day vulnerability discovered in Flowise AI platform</t>
        </is>
      </c>
      <c r="G13" t="inlineStr">
        <is>
          <t>HIGH</t>
        </is>
      </c>
      <c r="H13" t="inlineStr">
        <is>
          <t>Unknown</t>
        </is>
      </c>
      <c r="I13" t="inlineStr">
        <is>
          <t>Platform</t>
        </is>
      </c>
      <c r="J13" t="inlineStr">
        <is>
          <t>Deployment</t>
        </is>
      </c>
      <c r="K13" t="inlineStr">
        <is>
          <t>Security Risk</t>
        </is>
      </c>
      <c r="L13" t="inlineStr">
        <is>
          <t>Map</t>
        </is>
      </c>
      <c r="M13" t="inlineStr">
        <is>
          <t>SI-2</t>
        </is>
      </c>
      <c r="N13" t="inlineStr">
        <is>
          <t>A.12.6</t>
        </is>
      </c>
      <c r="O13" t="inlineStr">
        <is>
          <t>SI-2</t>
        </is>
      </c>
      <c r="P13" t="inlineStr">
        <is>
          <t>HackerOne Report</t>
        </is>
      </c>
      <c r="Q13" t="inlineStr">
        <is>
          <t>Investigate</t>
        </is>
      </c>
    </row>
    <row r="14" ht="25" customHeight="1">
      <c r="A14" t="inlineStr">
        <is>
          <t>2026-04-07</t>
        </is>
      </c>
      <c r="B14" t="inlineStr">
        <is>
          <t>2026-0407-013</t>
        </is>
      </c>
      <c r="C14" t="inlineStr">
        <is>
          <t>General Cyber</t>
        </is>
      </c>
      <c r="D14" t="inlineStr">
        <is>
          <t>Ransomware</t>
        </is>
      </c>
      <c r="E14" t="inlineStr">
        <is>
          <t>Healthcare Ransomware (Interlock)</t>
        </is>
      </c>
      <c r="F14" t="inlineStr">
        <is>
          <t>Interlock ransomware campaign targeting healthcare organizations</t>
        </is>
      </c>
      <c r="G14" t="inlineStr">
        <is>
          <t>MEDIUM</t>
        </is>
      </c>
      <c r="H14" t="inlineStr">
        <is>
          <t>Interlock</t>
        </is>
      </c>
      <c r="I14" t="inlineStr">
        <is>
          <t>Application</t>
        </is>
      </c>
      <c r="J14" t="inlineStr">
        <is>
          <t>Delivery</t>
        </is>
      </c>
      <c r="K14" t="inlineStr">
        <is>
          <t>Security Risk</t>
        </is>
      </c>
      <c r="L14" t="inlineStr">
        <is>
          <t>Manage</t>
        </is>
      </c>
      <c r="M14" t="inlineStr">
        <is>
          <t>IR-4,CP-10</t>
        </is>
      </c>
      <c r="N14" t="inlineStr">
        <is>
          <t>A.16.1</t>
        </is>
      </c>
      <c r="O14" t="inlineStr">
        <is>
          <t>IR-4</t>
        </is>
      </c>
      <c r="P14" t="inlineStr">
        <is>
          <t>Healthcare-ISAC Alert</t>
        </is>
      </c>
      <c r="Q14" t="inlineStr">
        <is>
          <t>Monitor</t>
        </is>
      </c>
    </row>
    <row r="15" ht="37.5" customHeight="1">
      <c r="A15" t="inlineStr">
        <is>
          <t>2026-04-07</t>
        </is>
      </c>
      <c r="B15" t="inlineStr">
        <is>
          <t>2026-0407-014</t>
        </is>
      </c>
      <c r="C15" t="inlineStr">
        <is>
          <t>Research</t>
        </is>
      </c>
      <c r="D15" t="inlineStr">
        <is>
          <t>Red Teaming</t>
        </is>
      </c>
      <c r="E15" t="inlineStr">
        <is>
          <t>OWASP GenAI Red Teaming Initiative</t>
        </is>
      </c>
      <c r="F15" t="inlineStr">
        <is>
          <t>OWASP launches comprehensive red teaming program for generative AI systems</t>
        </is>
      </c>
      <c r="G15" t="inlineStr">
        <is>
          <t>INFO</t>
        </is>
      </c>
      <c r="H15" t="inlineStr">
        <is>
          <t>N/A</t>
        </is>
      </c>
      <c r="I15" t="inlineStr">
        <is>
          <t>N/A</t>
        </is>
      </c>
      <c r="J15" t="inlineStr">
        <is>
          <t>N/A</t>
        </is>
      </c>
      <c r="K15" t="inlineStr">
        <is>
          <t>N/A</t>
        </is>
      </c>
      <c r="L15" t="inlineStr">
        <is>
          <t>Govern</t>
        </is>
      </c>
      <c r="M15" t="inlineStr">
        <is>
          <t>CA-8</t>
        </is>
      </c>
      <c r="N15" t="inlineStr">
        <is>
          <t>A.18.2</t>
        </is>
      </c>
      <c r="O15" t="inlineStr">
        <is>
          <t>CA-8</t>
        </is>
      </c>
      <c r="P15" t="inlineStr">
        <is>
          <t>OWASP</t>
        </is>
      </c>
      <c r="Q15" t="inlineStr">
        <is>
          <t>N/A</t>
        </is>
      </c>
    </row>
    <row r="16" ht="37.5" customHeight="1">
      <c r="A16" t="inlineStr">
        <is>
          <t>2026-04-07</t>
        </is>
      </c>
      <c r="B16" t="inlineStr">
        <is>
          <t>2026-0407-015</t>
        </is>
      </c>
      <c r="C16" t="inlineStr">
        <is>
          <t>Research</t>
        </is>
      </c>
      <c r="D16" t="inlineStr">
        <is>
          <t>Other</t>
        </is>
      </c>
      <c r="E16" t="inlineStr">
        <is>
          <t>NIST Cyber AI Profile / COSAiS</t>
        </is>
      </c>
      <c r="F16" t="inlineStr">
        <is>
          <t>NIST releases new Cyber AI Profile and Cybersecurity Outcomes and Safety Impact Survey</t>
        </is>
      </c>
      <c r="G16" t="inlineStr">
        <is>
          <t>INFO</t>
        </is>
      </c>
      <c r="H16" t="inlineStr">
        <is>
          <t>N/A</t>
        </is>
      </c>
      <c r="I16" t="inlineStr">
        <is>
          <t>N/A</t>
        </is>
      </c>
      <c r="J16" t="inlineStr">
        <is>
          <t>N/A</t>
        </is>
      </c>
      <c r="K16" t="inlineStr">
        <is>
          <t>N/A</t>
        </is>
      </c>
      <c r="L16" t="inlineStr">
        <is>
          <t>Govern</t>
        </is>
      </c>
      <c r="M16" t="inlineStr">
        <is>
          <t>PL-2,SA-8</t>
        </is>
      </c>
      <c r="N16" t="inlineStr">
        <is>
          <t>A.5.1</t>
        </is>
      </c>
      <c r="O16" t="inlineStr">
        <is>
          <t>PL-2</t>
        </is>
      </c>
      <c r="P16" t="inlineStr">
        <is>
          <t>NIST</t>
        </is>
      </c>
      <c r="Q16" t="inlineStr">
        <is>
          <t>N/A</t>
        </is>
      </c>
    </row>
    <row r="17">
      <c r="A17" t="inlineStr">
        <is>
          <t>2026-04-08</t>
        </is>
      </c>
      <c r="B17" t="inlineStr">
        <is>
          <t>2026-0408-001</t>
        </is>
      </c>
      <c r="C17" t="inlineStr">
        <is>
          <t>AI/LLM Threat</t>
        </is>
      </c>
      <c r="D17" t="inlineStr">
        <is>
          <t>Supply Chain Attack</t>
        </is>
      </c>
      <c r="E17" t="inlineStr">
        <is>
          <t>Axios NPM Package Hijack — RAT Deployment</t>
        </is>
      </c>
      <c r="F17" t="inlineStr">
        <is>
          <t>Axios npm maintainer account hijacked via social engineering. Malicious v1.14.1 and v0.30.4 shipped RAT via hidden 'plain-crypto-js' dependency.</t>
        </is>
      </c>
      <c r="G17" t="inlineStr">
        <is>
          <t>CRITICAL</t>
        </is>
      </c>
      <c r="H17" t="inlineStr">
        <is>
          <t>Unknown / Social Engineering</t>
        </is>
      </c>
      <c r="I17" t="inlineStr">
        <is>
          <t>Third-party Libraries</t>
        </is>
      </c>
      <c r="J17" t="inlineStr">
        <is>
          <t>Distribution</t>
        </is>
      </c>
      <c r="K17" t="inlineStr">
        <is>
          <t>Security Risk</t>
        </is>
      </c>
      <c r="L17" t="inlineStr">
        <is>
          <t>Map</t>
        </is>
      </c>
      <c r="M17" t="inlineStr">
        <is>
          <t>SA-12, SR-3</t>
        </is>
      </c>
      <c r="N17" t="inlineStr">
        <is>
          <t>A.14.2.7</t>
        </is>
      </c>
      <c r="O17" t="inlineStr">
        <is>
          <t>SA-12</t>
        </is>
      </c>
      <c r="P17" t="inlineStr">
        <is>
          <t>Unit42</t>
        </is>
      </c>
      <c r="Q17" t="inlineStr">
        <is>
          <t>Escalate</t>
        </is>
      </c>
    </row>
    <row r="18">
      <c r="A18" t="inlineStr">
        <is>
          <t>2026-04-08</t>
        </is>
      </c>
      <c r="B18" t="inlineStr">
        <is>
          <t>2026-0408-002</t>
        </is>
      </c>
      <c r="C18" t="inlineStr">
        <is>
          <t>AI/LLM Threat</t>
        </is>
      </c>
      <c r="D18" t="inlineStr">
        <is>
          <t>Package Poisoning</t>
        </is>
      </c>
      <c r="E18" t="inlineStr">
        <is>
          <t>LiteLLM PyPI Infostealer (TeamPCP)</t>
        </is>
      </c>
      <c r="F18" t="inlineStr">
        <is>
          <t>TeamPCP compromised LiteLLM v1.82.7/v1.82.8 on PyPI with infostealer malware targeting API keys for 100+ LLM providers.</t>
        </is>
      </c>
      <c r="G18" t="inlineStr">
        <is>
          <t>CRITICAL</t>
        </is>
      </c>
      <c r="H18" t="inlineStr">
        <is>
          <t>TeamPCP</t>
        </is>
      </c>
      <c r="I18" t="inlineStr">
        <is>
          <t>Code</t>
        </is>
      </c>
      <c r="J18" t="inlineStr">
        <is>
          <t>Delivery</t>
        </is>
      </c>
      <c r="K18" t="inlineStr">
        <is>
          <t>Security Risk</t>
        </is>
      </c>
      <c r="L18" t="inlineStr">
        <is>
          <t>Manage</t>
        </is>
      </c>
      <c r="M18" t="inlineStr">
        <is>
          <t>SA-11, SA-12</t>
        </is>
      </c>
      <c r="N18" t="inlineStr">
        <is>
          <t>A.14.2.7</t>
        </is>
      </c>
      <c r="O18" t="inlineStr">
        <is>
          <t>SA-11</t>
        </is>
      </c>
      <c r="P18" t="inlineStr">
        <is>
          <t>PyPI Security</t>
        </is>
      </c>
      <c r="Q18" t="inlineStr">
        <is>
          <t>Escalate</t>
        </is>
      </c>
    </row>
    <row r="19">
      <c r="A19" t="inlineStr">
        <is>
          <t>2026-04-08</t>
        </is>
      </c>
      <c r="B19" t="inlineStr">
        <is>
          <t>2026-0408-003</t>
        </is>
      </c>
      <c r="C19" t="inlineStr">
        <is>
          <t>Cloud Security</t>
        </is>
      </c>
      <c r="D19" t="inlineStr">
        <is>
          <t>Zero-Day</t>
        </is>
      </c>
      <c r="E19" t="inlineStr">
        <is>
          <t>Citrix NetScaler ADC/Gateway CVE-2026-3055</t>
        </is>
      </c>
      <c r="F19" t="inlineStr">
        <is>
          <t>Active exploitation of memory read vuln in Citrix NetScaler. Sits at internet edge as remote-access/SSO broker.</t>
        </is>
      </c>
      <c r="G19" t="inlineStr">
        <is>
          <t>CRITICAL</t>
        </is>
      </c>
      <c r="H19" t="inlineStr">
        <is>
          <t>Unknown</t>
        </is>
      </c>
      <c r="I19" t="inlineStr">
        <is>
          <t>Platform</t>
        </is>
      </c>
      <c r="J19" t="inlineStr">
        <is>
          <t>Deployment</t>
        </is>
      </c>
      <c r="K19" t="inlineStr">
        <is>
          <t>Security Risk</t>
        </is>
      </c>
      <c r="L19" t="inlineStr">
        <is>
          <t>Manage</t>
        </is>
      </c>
      <c r="M19" t="inlineStr">
        <is>
          <t>SI-2, SI-5</t>
        </is>
      </c>
      <c r="N19" t="inlineStr">
        <is>
          <t>A.12.6</t>
        </is>
      </c>
      <c r="O19" t="inlineStr">
        <is>
          <t>SI-2</t>
        </is>
      </c>
      <c r="P19" t="inlineStr">
        <is>
          <t>Citrix</t>
        </is>
      </c>
      <c r="Q19" t="inlineStr">
        <is>
          <t>Escalate</t>
        </is>
      </c>
    </row>
    <row r="20">
      <c r="A20" t="inlineStr">
        <is>
          <t>2026-04-08</t>
        </is>
      </c>
      <c r="B20" t="inlineStr">
        <is>
          <t>2026-0408-004</t>
        </is>
      </c>
      <c r="C20" t="inlineStr">
        <is>
          <t>General Cyber</t>
        </is>
      </c>
      <c r="D20" t="inlineStr">
        <is>
          <t>Ransomware</t>
        </is>
      </c>
      <c r="E20" t="inlineStr">
        <is>
          <t>ChipSoft Healthcare Ransomware — 80% Dutch Hospitals</t>
        </is>
      </c>
      <c r="F20" t="inlineStr">
        <is>
          <t>ChipSoft patient record software serving ~80% Dutch hospitals knocked offline by ransomware April 7.</t>
        </is>
      </c>
      <c r="G20" t="inlineStr">
        <is>
          <t>CRITICAL</t>
        </is>
      </c>
      <c r="H20" t="inlineStr">
        <is>
          <t>Unknown</t>
        </is>
      </c>
      <c r="I20" t="inlineStr">
        <is>
          <t>Application</t>
        </is>
      </c>
      <c r="J20" t="inlineStr">
        <is>
          <t>Delivery</t>
        </is>
      </c>
      <c r="K20" t="inlineStr">
        <is>
          <t>Security Risk</t>
        </is>
      </c>
      <c r="L20" t="inlineStr">
        <is>
          <t>Manage</t>
        </is>
      </c>
      <c r="M20" t="inlineStr">
        <is>
          <t>IR-4, CP-10</t>
        </is>
      </c>
      <c r="N20" t="inlineStr">
        <is>
          <t>A.16.1</t>
        </is>
      </c>
      <c r="O20" t="inlineStr">
        <is>
          <t>IR-4</t>
        </is>
      </c>
      <c r="P20" t="inlineStr">
        <is>
          <t>Bitdefender</t>
        </is>
      </c>
      <c r="Q20" t="inlineStr">
        <is>
          <t>Investigate</t>
        </is>
      </c>
    </row>
    <row r="21">
      <c r="A21" t="inlineStr">
        <is>
          <t>2026-04-08</t>
        </is>
      </c>
      <c r="B21" t="inlineStr">
        <is>
          <t>2026-0408-005</t>
        </is>
      </c>
      <c r="C21" t="inlineStr">
        <is>
          <t>AI/LLM Threat</t>
        </is>
      </c>
      <c r="D21" t="inlineStr">
        <is>
          <t>Credential Hijacking</t>
        </is>
      </c>
      <c r="E21" t="inlineStr">
        <is>
          <t>LLMjacking — Operation Bizarre Bazaar</t>
        </is>
      </c>
      <c r="F21" t="inlineStr">
        <is>
          <t>Systematic campaign scanning/hijacking exposed LLM endpoints. Targeting misconfigured self-hosted APIs.</t>
        </is>
      </c>
      <c r="G21" t="inlineStr">
        <is>
          <t>HIGH</t>
        </is>
      </c>
      <c r="H21" t="inlineStr">
        <is>
          <t>Operation Bizarre Bazaar</t>
        </is>
      </c>
      <c r="I21" t="inlineStr">
        <is>
          <t>Platform</t>
        </is>
      </c>
      <c r="J21" t="inlineStr">
        <is>
          <t>Deployment</t>
        </is>
      </c>
      <c r="K21" t="inlineStr">
        <is>
          <t>Security Risk</t>
        </is>
      </c>
      <c r="L21" t="inlineStr">
        <is>
          <t>Map</t>
        </is>
      </c>
      <c r="M21" t="inlineStr">
        <is>
          <t>AC-3, IA-2</t>
        </is>
      </c>
      <c r="N21" t="inlineStr">
        <is>
          <t>A.9.4</t>
        </is>
      </c>
      <c r="O21" t="inlineStr">
        <is>
          <t>AC-3</t>
        </is>
      </c>
      <c r="P21" t="inlineStr">
        <is>
          <t>Sekoia</t>
        </is>
      </c>
      <c r="Q21" t="inlineStr">
        <is>
          <t>Investigate</t>
        </is>
      </c>
    </row>
    <row r="22">
      <c r="A22" t="inlineStr">
        <is>
          <t>2026-04-08</t>
        </is>
      </c>
      <c r="B22" t="inlineStr">
        <is>
          <t>2026-0408-006</t>
        </is>
      </c>
      <c r="C22" t="inlineStr">
        <is>
          <t>AI/LLM Threat</t>
        </is>
      </c>
      <c r="D22" t="inlineStr">
        <is>
          <t>MCP Vulnerability</t>
        </is>
      </c>
      <c r="E22" t="inlineStr">
        <is>
          <t>MCP Sampling Attack Vectors (Unit42)</t>
        </is>
      </c>
      <c r="F22" t="inlineStr">
        <is>
          <t>Palo Alto Unit42 research on prompt injection via MCP sampling triggering unintended file/API/DB operations.</t>
        </is>
      </c>
      <c r="G22" t="inlineStr">
        <is>
          <t>HIGH</t>
        </is>
      </c>
      <c r="H22" t="inlineStr">
        <is>
          <t>N/A</t>
        </is>
      </c>
      <c r="I22" t="inlineStr">
        <is>
          <t>Toolchain</t>
        </is>
      </c>
      <c r="J22" t="inlineStr">
        <is>
          <t>Deployment</t>
        </is>
      </c>
      <c r="K22" t="inlineStr">
        <is>
          <t>Security Risk</t>
        </is>
      </c>
      <c r="L22" t="inlineStr">
        <is>
          <t>Map</t>
        </is>
      </c>
      <c r="M22" t="inlineStr">
        <is>
          <t>SA-12, SI-7</t>
        </is>
      </c>
      <c r="N22" t="inlineStr">
        <is>
          <t>A.14.2.5</t>
        </is>
      </c>
      <c r="O22" t="inlineStr">
        <is>
          <t>SA-12</t>
        </is>
      </c>
      <c r="P22" t="inlineStr">
        <is>
          <t>Unit42</t>
        </is>
      </c>
      <c r="Q22" t="inlineStr">
        <is>
          <t>Investigate</t>
        </is>
      </c>
    </row>
    <row r="23">
      <c r="A23" t="inlineStr">
        <is>
          <t>2026-04-08</t>
        </is>
      </c>
      <c r="B23" t="inlineStr">
        <is>
          <t>2026-0408-007</t>
        </is>
      </c>
      <c r="C23" t="inlineStr">
        <is>
          <t>AI/LLM Threat</t>
        </is>
      </c>
      <c r="D23" t="inlineStr">
        <is>
          <t>Shadow AI</t>
        </is>
      </c>
      <c r="E23" t="inlineStr">
        <is>
          <t>Shadow AI — Primary Enterprise Data Leakage Vector</t>
        </is>
      </c>
      <c r="F23" t="inlineStr">
        <is>
          <t>Unsanctioned AI tools now most common entry point for enterprise data leakage.</t>
        </is>
      </c>
      <c r="G23" t="inlineStr">
        <is>
          <t>HIGH</t>
        </is>
      </c>
      <c r="H23" t="inlineStr">
        <is>
          <t>N/A</t>
        </is>
      </c>
      <c r="I23" t="inlineStr">
        <is>
          <t>Data</t>
        </is>
      </c>
      <c r="J23" t="inlineStr">
        <is>
          <t>All Stages</t>
        </is>
      </c>
      <c r="K23" t="inlineStr">
        <is>
          <t>Privacy Risk</t>
        </is>
      </c>
      <c r="L23" t="inlineStr">
        <is>
          <t>Govern</t>
        </is>
      </c>
      <c r="M23" t="inlineStr">
        <is>
          <t>CM-8, PM-5</t>
        </is>
      </c>
      <c r="N23" t="inlineStr">
        <is>
          <t>A.8.1</t>
        </is>
      </c>
      <c r="O23" t="inlineStr">
        <is>
          <t>CM-8</t>
        </is>
      </c>
      <c r="P23" t="inlineStr">
        <is>
          <t>Cisco</t>
        </is>
      </c>
      <c r="Q23" t="inlineStr">
        <is>
          <t>Monitor</t>
        </is>
      </c>
    </row>
    <row r="24">
      <c r="A24" t="inlineStr">
        <is>
          <t>2026-04-08</t>
        </is>
      </c>
      <c r="B24" t="inlineStr">
        <is>
          <t>2026-0408-008</t>
        </is>
      </c>
      <c r="C24" t="inlineStr">
        <is>
          <t>AI/LLM Threat</t>
        </is>
      </c>
      <c r="D24" t="inlineStr">
        <is>
          <t>Agent Security</t>
        </is>
      </c>
      <c r="E24" t="inlineStr">
        <is>
          <t>Agentic AI Security Gap — 83% Deploy, 29% Ready</t>
        </is>
      </c>
      <c r="F24" t="inlineStr">
        <is>
          <t>Cisco report: 83% deploying agentic AI, only 29% ready to secure it. Attack success &gt;85% with adaptive strategies.</t>
        </is>
      </c>
      <c r="G24" t="inlineStr">
        <is>
          <t>HIGH</t>
        </is>
      </c>
      <c r="H24" t="inlineStr">
        <is>
          <t>N/A</t>
        </is>
      </c>
      <c r="I24" t="inlineStr">
        <is>
          <t>Platform</t>
        </is>
      </c>
      <c r="J24" t="inlineStr">
        <is>
          <t>Deployment</t>
        </is>
      </c>
      <c r="K24" t="inlineStr">
        <is>
          <t>Security Risk</t>
        </is>
      </c>
      <c r="L24" t="inlineStr">
        <is>
          <t>Govern</t>
        </is>
      </c>
      <c r="M24" t="inlineStr">
        <is>
          <t>PL-2, RA-5</t>
        </is>
      </c>
      <c r="N24" t="inlineStr">
        <is>
          <t>A.5.1</t>
        </is>
      </c>
      <c r="O24" t="inlineStr">
        <is>
          <t>PL-2</t>
        </is>
      </c>
      <c r="P24" t="inlineStr">
        <is>
          <t>Cisco</t>
        </is>
      </c>
      <c r="Q24" t="inlineStr">
        <is>
          <t>Monitor</t>
        </is>
      </c>
    </row>
    <row r="25">
      <c r="A25" t="inlineStr">
        <is>
          <t>2026-04-08</t>
        </is>
      </c>
      <c r="B25" t="inlineStr">
        <is>
          <t>2026-0408-009</t>
        </is>
      </c>
      <c r="C25" t="inlineStr">
        <is>
          <t>Cloud Security</t>
        </is>
      </c>
      <c r="D25" t="inlineStr">
        <is>
          <t>Botnet</t>
        </is>
      </c>
      <c r="E25" t="inlineStr">
        <is>
          <t>Chaos Malware Cloud-Targeting Variant</t>
        </is>
      </c>
      <c r="F25" t="inlineStr">
        <is>
          <t>New Chaos malware variant targeting misconfigured cloud deployments. Expanding botnet to cloud infrastructure.</t>
        </is>
      </c>
      <c r="G25" t="inlineStr">
        <is>
          <t>HIGH</t>
        </is>
      </c>
      <c r="H25" t="inlineStr">
        <is>
          <t>Unknown</t>
        </is>
      </c>
      <c r="I25" t="inlineStr">
        <is>
          <t>Platform</t>
        </is>
      </c>
      <c r="J25" t="inlineStr">
        <is>
          <t>Deployment</t>
        </is>
      </c>
      <c r="K25" t="inlineStr">
        <is>
          <t>Security Risk</t>
        </is>
      </c>
      <c r="L25" t="inlineStr">
        <is>
          <t>Manage</t>
        </is>
      </c>
      <c r="M25" t="inlineStr">
        <is>
          <t>CM-6, SI-3</t>
        </is>
      </c>
      <c r="N25" t="inlineStr">
        <is>
          <t>A.12.2</t>
        </is>
      </c>
      <c r="O25" t="inlineStr">
        <is>
          <t>CM-6</t>
        </is>
      </c>
      <c r="P25" t="inlineStr">
        <is>
          <t>Qualys</t>
        </is>
      </c>
      <c r="Q25" t="inlineStr">
        <is>
          <t>Investigate</t>
        </is>
      </c>
    </row>
    <row r="26">
      <c r="A26" t="inlineStr">
        <is>
          <t>2026-04-08</t>
        </is>
      </c>
      <c r="B26" t="inlineStr">
        <is>
          <t>2026-0408-010</t>
        </is>
      </c>
      <c r="C26" t="inlineStr">
        <is>
          <t>General Cyber</t>
        </is>
      </c>
      <c r="D26" t="inlineStr">
        <is>
          <t>Ransomware</t>
        </is>
      </c>
      <c r="E26" t="inlineStr">
        <is>
          <t>Handala Ransomware Group Surge — 23 Victims March</t>
        </is>
      </c>
      <c r="F26" t="inlineStr">
        <is>
          <t>Handala claimed 23 victims in March spanning healthcare, education, research, financial, utilities.</t>
        </is>
      </c>
      <c r="G26" t="inlineStr">
        <is>
          <t>HIGH</t>
        </is>
      </c>
      <c r="H26" t="inlineStr">
        <is>
          <t>Handala</t>
        </is>
      </c>
      <c r="I26" t="inlineStr">
        <is>
          <t>Application</t>
        </is>
      </c>
      <c r="J26" t="inlineStr">
        <is>
          <t>Delivery</t>
        </is>
      </c>
      <c r="K26" t="inlineStr">
        <is>
          <t>Security Risk</t>
        </is>
      </c>
      <c r="L26" t="inlineStr">
        <is>
          <t>Manage</t>
        </is>
      </c>
      <c r="M26" t="inlineStr">
        <is>
          <t>IR-4, CP-9</t>
        </is>
      </c>
      <c r="N26" t="inlineStr">
        <is>
          <t>A.16.1</t>
        </is>
      </c>
      <c r="O26" t="inlineStr">
        <is>
          <t>IR-4</t>
        </is>
      </c>
      <c r="P26" t="inlineStr">
        <is>
          <t>SentinelLabs</t>
        </is>
      </c>
      <c r="Q26" t="inlineStr">
        <is>
          <t>Monitor</t>
        </is>
      </c>
    </row>
    <row r="27">
      <c r="A27" t="inlineStr">
        <is>
          <t>2026-04-08</t>
        </is>
      </c>
      <c r="B27" t="inlineStr">
        <is>
          <t>2026-0408-011</t>
        </is>
      </c>
      <c r="C27" t="inlineStr">
        <is>
          <t>AI/LLM Threat</t>
        </is>
      </c>
      <c r="D27" t="inlineStr">
        <is>
          <t>Memory Poisoning</t>
        </is>
      </c>
      <c r="E27" t="inlineStr">
        <is>
          <t>LLM Agent Memory Poisoning Attacks</t>
        </is>
      </c>
      <c r="F27" t="inlineStr">
        <is>
          <t>Memory-based LLM agents create persistent attack surface spanning sessions via stored interaction poisoning.</t>
        </is>
      </c>
      <c r="G27" t="inlineStr">
        <is>
          <t>MEDIUM</t>
        </is>
      </c>
      <c r="H27" t="inlineStr">
        <is>
          <t>N/A</t>
        </is>
      </c>
      <c r="I27" t="inlineStr">
        <is>
          <t>Data</t>
        </is>
      </c>
      <c r="J27" t="inlineStr">
        <is>
          <t>Training</t>
        </is>
      </c>
      <c r="K27" t="inlineStr">
        <is>
          <t>Security Risk</t>
        </is>
      </c>
      <c r="L27" t="inlineStr">
        <is>
          <t>Measure</t>
        </is>
      </c>
      <c r="M27" t="inlineStr">
        <is>
          <t>SI-7, SI-10</t>
        </is>
      </c>
      <c r="N27" t="inlineStr">
        <is>
          <t>A.14.1.2</t>
        </is>
      </c>
      <c r="O27" t="inlineStr">
        <is>
          <t>SI-7</t>
        </is>
      </c>
      <c r="P27" t="inlineStr">
        <is>
          <t>NVIDIA</t>
        </is>
      </c>
      <c r="Q27" t="inlineStr">
        <is>
          <t>Monitor</t>
        </is>
      </c>
    </row>
    <row r="28">
      <c r="A28" t="inlineStr">
        <is>
          <t>2026-04-08</t>
        </is>
      </c>
      <c r="B28" t="inlineStr">
        <is>
          <t>2026-0408-012</t>
        </is>
      </c>
      <c r="C28" t="inlineStr">
        <is>
          <t>General Cyber</t>
        </is>
      </c>
      <c r="D28" t="inlineStr">
        <is>
          <t>Municipal Attack</t>
        </is>
      </c>
      <c r="E28" t="inlineStr">
        <is>
          <t>Middlesex County Government Systems Attack</t>
        </is>
      </c>
      <c r="F28" t="inlineStr">
        <is>
          <t>Middlesex County cyber attack on April 1 impacted town and public safety systems.</t>
        </is>
      </c>
      <c r="G28" t="inlineStr">
        <is>
          <t>MEDIUM</t>
        </is>
      </c>
      <c r="H28" t="inlineStr">
        <is>
          <t>Unknown</t>
        </is>
      </c>
      <c r="I28" t="inlineStr">
        <is>
          <t>Application</t>
        </is>
      </c>
      <c r="J28" t="inlineStr">
        <is>
          <t>Delivery</t>
        </is>
      </c>
      <c r="K28" t="inlineStr">
        <is>
          <t>Security Risk</t>
        </is>
      </c>
      <c r="L28" t="inlineStr">
        <is>
          <t>Manage</t>
        </is>
      </c>
      <c r="M28" t="inlineStr">
        <is>
          <t>IR-4, IR-6</t>
        </is>
      </c>
      <c r="N28" t="inlineStr">
        <is>
          <t>A.16.1</t>
        </is>
      </c>
      <c r="O28" t="inlineStr">
        <is>
          <t>IR-4</t>
        </is>
      </c>
      <c r="P28" t="inlineStr">
        <is>
          <t>CISA</t>
        </is>
      </c>
      <c r="Q28" t="inlineStr">
        <is>
          <t>Monitor</t>
        </is>
      </c>
    </row>
    <row r="29">
      <c r="A29" t="inlineStr">
        <is>
          <t>2026-04-08</t>
        </is>
      </c>
      <c r="B29" t="inlineStr">
        <is>
          <t>2026-0408-013</t>
        </is>
      </c>
      <c r="C29" t="inlineStr">
        <is>
          <t>General Cyber</t>
        </is>
      </c>
      <c r="D29" t="inlineStr">
        <is>
          <t>RaaS</t>
        </is>
      </c>
      <c r="E29" t="inlineStr">
        <is>
          <t>Qilin RaaS — 1,800+ Cumulative Victims</t>
        </is>
      </c>
      <c r="F29" t="inlineStr">
        <is>
          <t>Qilin claimed 151 victims in March, 1,800+ total since inception in late 2022.</t>
        </is>
      </c>
      <c r="G29" t="inlineStr">
        <is>
          <t>MEDIUM</t>
        </is>
      </c>
      <c r="H29" t="inlineStr">
        <is>
          <t>Qilin</t>
        </is>
      </c>
      <c r="I29" t="inlineStr">
        <is>
          <t>Application</t>
        </is>
      </c>
      <c r="J29" t="inlineStr">
        <is>
          <t>Delivery</t>
        </is>
      </c>
      <c r="K29" t="inlineStr">
        <is>
          <t>Security Risk</t>
        </is>
      </c>
      <c r="L29" t="inlineStr">
        <is>
          <t>Manage</t>
        </is>
      </c>
      <c r="M29" t="inlineStr">
        <is>
          <t>IR-4, SI-4</t>
        </is>
      </c>
      <c r="N29" t="inlineStr">
        <is>
          <t>A.16.1</t>
        </is>
      </c>
      <c r="O29" t="inlineStr">
        <is>
          <t>IR-4</t>
        </is>
      </c>
      <c r="P29" t="inlineStr">
        <is>
          <t>Cyble</t>
        </is>
      </c>
      <c r="Q29" t="inlineStr">
        <is>
          <t>Monitor</t>
        </is>
      </c>
    </row>
    <row r="30">
      <c r="A30" t="inlineStr">
        <is>
          <t>2026-04-08</t>
        </is>
      </c>
      <c r="B30" t="inlineStr">
        <is>
          <t>2026-0408-014</t>
        </is>
      </c>
      <c r="C30" t="inlineStr">
        <is>
          <t>Research</t>
        </is>
      </c>
      <c r="D30" t="inlineStr">
        <is>
          <t>Framework Update</t>
        </is>
      </c>
      <c r="E30" t="inlineStr">
        <is>
          <t>OWASP Top 10 for Agentic Applications 2026</t>
        </is>
      </c>
      <c r="F30" t="inlineStr">
        <is>
          <t>Peer-reviewed framework for critical security risks in autonomous/agentic AI systems.</t>
        </is>
      </c>
      <c r="G30" t="inlineStr">
        <is>
          <t>INFO</t>
        </is>
      </c>
      <c r="H30" t="inlineStr">
        <is>
          <t>N/A</t>
        </is>
      </c>
      <c r="I30" t="inlineStr">
        <is>
          <t>N/A</t>
        </is>
      </c>
      <c r="J30" t="inlineStr">
        <is>
          <t>N/A</t>
        </is>
      </c>
      <c r="K30" t="inlineStr">
        <is>
          <t>N/A</t>
        </is>
      </c>
      <c r="L30" t="inlineStr">
        <is>
          <t>Govern</t>
        </is>
      </c>
      <c r="M30" t="inlineStr">
        <is>
          <t>CA-8, PL-2</t>
        </is>
      </c>
      <c r="N30" t="inlineStr">
        <is>
          <t>A.18.2</t>
        </is>
      </c>
      <c r="O30" t="inlineStr">
        <is>
          <t>CA-8</t>
        </is>
      </c>
      <c r="P30" t="inlineStr">
        <is>
          <t>OWASP</t>
        </is>
      </c>
      <c r="Q30" t="inlineStr">
        <is>
          <t>N/A</t>
        </is>
      </c>
    </row>
    <row r="31">
      <c r="A31" t="inlineStr">
        <is>
          <t>2026-04-08</t>
        </is>
      </c>
      <c r="B31" t="inlineStr">
        <is>
          <t>2026-0408-015</t>
        </is>
      </c>
      <c r="C31" t="inlineStr">
        <is>
          <t>Research</t>
        </is>
      </c>
      <c r="D31" t="inlineStr">
        <is>
          <t>Industry Report</t>
        </is>
      </c>
      <c r="E31" t="inlineStr">
        <is>
          <t>Cisco State of AI Security 2026 Report</t>
        </is>
      </c>
      <c r="F31" t="inlineStr">
        <is>
          <t>Comprehensive AI security landscape report. 83% deploy agentic AI, 29% ready to secure.</t>
        </is>
      </c>
      <c r="G31" t="inlineStr">
        <is>
          <t>INFO</t>
        </is>
      </c>
      <c r="H31" t="inlineStr">
        <is>
          <t>N/A</t>
        </is>
      </c>
      <c r="I31" t="inlineStr">
        <is>
          <t>N/A</t>
        </is>
      </c>
      <c r="J31" t="inlineStr">
        <is>
          <t>N/A</t>
        </is>
      </c>
      <c r="K31" t="inlineStr">
        <is>
          <t>N/A</t>
        </is>
      </c>
      <c r="L31" t="inlineStr">
        <is>
          <t>Govern</t>
        </is>
      </c>
      <c r="M31" t="inlineStr">
        <is>
          <t>PL-2, RA-3</t>
        </is>
      </c>
      <c r="N31" t="inlineStr">
        <is>
          <t>A.5.1</t>
        </is>
      </c>
      <c r="O31" t="inlineStr">
        <is>
          <t>PL-2</t>
        </is>
      </c>
      <c r="P31" t="inlineStr">
        <is>
          <t>Cisco</t>
        </is>
      </c>
      <c r="Q31" t="inlineStr">
        <is>
          <t>N/A</t>
        </is>
      </c>
    </row>
    <row r="32">
      <c r="A32" t="inlineStr">
        <is>
          <t>2026-04-09</t>
        </is>
      </c>
      <c r="B32" t="inlineStr">
        <is>
          <t>2026-0409-001</t>
        </is>
      </c>
      <c r="C32" t="inlineStr">
        <is>
          <t>AI/LLM Threat</t>
        </is>
      </c>
      <c r="D32" t="inlineStr">
        <is>
          <t>Zero-Click Injection</t>
        </is>
      </c>
      <c r="E32" t="inlineStr">
        <is>
          <t>EchoLeak: M365 Copilot Zero-Click Data Exfiltration</t>
        </is>
      </c>
      <c r="F32" t="inlineStr">
        <is>
          <t>Zero-click attack using hidden email prompt causes Copilot to autonomously exfiltrate corporate data. No user interaction required.</t>
        </is>
      </c>
      <c r="G32" t="inlineStr">
        <is>
          <t>CRITICAL</t>
        </is>
      </c>
      <c r="H32" t="inlineStr">
        <is>
          <t>Proof-of-Concept</t>
        </is>
      </c>
      <c r="I32" t="inlineStr">
        <is>
          <t>Application</t>
        </is>
      </c>
      <c r="J32" t="inlineStr">
        <is>
          <t>Deployment</t>
        </is>
      </c>
      <c r="K32" t="inlineStr">
        <is>
          <t>Security Risk</t>
        </is>
      </c>
      <c r="L32" t="inlineStr">
        <is>
          <t>Measure</t>
        </is>
      </c>
      <c r="M32" t="inlineStr">
        <is>
          <t>SI-10, AC-3, IR-4</t>
        </is>
      </c>
      <c r="N32" t="inlineStr">
        <is>
          <t>A.14.2.5</t>
        </is>
      </c>
      <c r="O32" t="inlineStr">
        <is>
          <t>SI-10</t>
        </is>
      </c>
      <c r="P32" t="inlineStr">
        <is>
          <t>SecurityBoulevard 2026-04</t>
        </is>
      </c>
      <c r="Q32" t="inlineStr">
        <is>
          <t>Escalate</t>
        </is>
      </c>
    </row>
    <row r="33">
      <c r="A33" t="inlineStr">
        <is>
          <t>2026-04-09</t>
        </is>
      </c>
      <c r="B33" t="inlineStr">
        <is>
          <t>2026-0409-002</t>
        </is>
      </c>
      <c r="C33" t="inlineStr">
        <is>
          <t>AI/LLM Threat</t>
        </is>
      </c>
      <c r="D33" t="inlineStr">
        <is>
          <t>Agent Marketplace Attack</t>
        </is>
      </c>
      <c r="E33" t="inlineStr">
        <is>
          <t>OpenClaw Malicious Marketplace Skills &amp; WebSocket Hijack</t>
        </is>
      </c>
      <c r="F33" t="inlineStr">
        <is>
          <t>Malicious actors uploaded skills to OpenClaw marketplace (188K+ stars) that exfiltrate data. WebSocket gateway allows agent hijacking.</t>
        </is>
      </c>
      <c r="G33" t="inlineStr">
        <is>
          <t>CRITICAL</t>
        </is>
      </c>
      <c r="H33" t="inlineStr">
        <is>
          <t>Unknown / Marketplace TA</t>
        </is>
      </c>
      <c r="I33" t="inlineStr">
        <is>
          <t>Third-party Libraries</t>
        </is>
      </c>
      <c r="J33" t="inlineStr">
        <is>
          <t>Distribution</t>
        </is>
      </c>
      <c r="K33" t="inlineStr">
        <is>
          <t>Security Risk</t>
        </is>
      </c>
      <c r="L33" t="inlineStr">
        <is>
          <t>Map</t>
        </is>
      </c>
      <c r="M33" t="inlineStr">
        <is>
          <t>SA-12, SR-3, SI-7</t>
        </is>
      </c>
      <c r="N33" t="inlineStr">
        <is>
          <t>A.15.1</t>
        </is>
      </c>
      <c r="O33" t="inlineStr">
        <is>
          <t>SA-12</t>
        </is>
      </c>
      <c r="P33" t="inlineStr">
        <is>
          <t>Adversa AI April 2026</t>
        </is>
      </c>
      <c r="Q33" t="inlineStr">
        <is>
          <t>Investigate</t>
        </is>
      </c>
    </row>
    <row r="34">
      <c r="A34" t="inlineStr">
        <is>
          <t>2026-04-09</t>
        </is>
      </c>
      <c r="B34" t="inlineStr">
        <is>
          <t>2026-0409-003</t>
        </is>
      </c>
      <c r="C34" t="inlineStr">
        <is>
          <t>AI/LLM Threat</t>
        </is>
      </c>
      <c r="D34" t="inlineStr">
        <is>
          <t>Protocol Vulnerability</t>
        </is>
      </c>
      <c r="E34" t="inlineStr">
        <is>
          <t>MCP Security Audit: 43% Vulnerable, 30+ CVEs in 60 Days</t>
        </is>
      </c>
      <c r="F34" t="inlineStr">
        <is>
          <t>43% of public MCP servers vulnerable to command execution. 30+ CVEs in 60 days including CVSS 9.6 RCE. OWASP MCP Top 10 published.</t>
        </is>
      </c>
      <c r="G34" t="inlineStr">
        <is>
          <t>HIGH</t>
        </is>
      </c>
      <c r="H34" t="inlineStr">
        <is>
          <t>N/A</t>
        </is>
      </c>
      <c r="I34" t="inlineStr">
        <is>
          <t>Toolchain</t>
        </is>
      </c>
      <c r="J34" t="inlineStr">
        <is>
          <t>Deployment</t>
        </is>
      </c>
      <c r="K34" t="inlineStr">
        <is>
          <t>Security Risk</t>
        </is>
      </c>
      <c r="L34" t="inlineStr">
        <is>
          <t>Map</t>
        </is>
      </c>
      <c r="M34" t="inlineStr">
        <is>
          <t>SA-12, SI-7, AC-3, CM-7</t>
        </is>
      </c>
      <c r="N34" t="inlineStr">
        <is>
          <t>A.14.2.5</t>
        </is>
      </c>
      <c r="O34" t="inlineStr">
        <is>
          <t>SA-12</t>
        </is>
      </c>
      <c r="P34" t="inlineStr">
        <is>
          <t>aembit.io / OWASP 2026</t>
        </is>
      </c>
      <c r="Q34" t="inlineStr">
        <is>
          <t>Investigate</t>
        </is>
      </c>
    </row>
    <row r="35">
      <c r="A35" t="inlineStr">
        <is>
          <t>2026-04-09</t>
        </is>
      </c>
      <c r="B35" t="inlineStr">
        <is>
          <t>2026-0409-004</t>
        </is>
      </c>
      <c r="C35" t="inlineStr">
        <is>
          <t>AI/LLM Threat</t>
        </is>
      </c>
      <c r="D35" t="inlineStr">
        <is>
          <t>Prompt Injection Research</t>
        </is>
      </c>
      <c r="E35" t="inlineStr">
        <is>
          <t>Indirect Prompt Injection — 80% SSH Key Exfiltration via Poisoned Email</t>
        </is>
      </c>
      <c r="F35" t="inlineStr">
        <is>
          <t>Confirmed in production: poisoned email coerces GPT-4o to exfiltrate SSH keys in 80% of trials. 90% RAG poisoning with 5 documents.</t>
        </is>
      </c>
      <c r="G35" t="inlineStr">
        <is>
          <t>HIGH</t>
        </is>
      </c>
      <c r="H35" t="inlineStr">
        <is>
          <t>N/A — Research</t>
        </is>
      </c>
      <c r="I35" t="inlineStr">
        <is>
          <t>Prompt</t>
        </is>
      </c>
      <c r="J35" t="inlineStr">
        <is>
          <t>All Stages</t>
        </is>
      </c>
      <c r="K35" t="inlineStr">
        <is>
          <t>Security Risk</t>
        </is>
      </c>
      <c r="L35" t="inlineStr">
        <is>
          <t>Measure</t>
        </is>
      </c>
      <c r="M35" t="inlineStr">
        <is>
          <t>SI-10, SI-7, IR-4, AC-3</t>
        </is>
      </c>
      <c r="N35" t="inlineStr">
        <is>
          <t>A.14.2.5</t>
        </is>
      </c>
      <c r="O35" t="inlineStr">
        <is>
          <t>SI-10</t>
        </is>
      </c>
      <c r="P35" t="inlineStr">
        <is>
          <t>ScienceDirect / arXiv 2026</t>
        </is>
      </c>
      <c r="Q35" t="inlineStr">
        <is>
          <t>Monitor</t>
        </is>
      </c>
    </row>
    <row r="36">
      <c r="A36" t="inlineStr">
        <is>
          <t>2026-04-09</t>
        </is>
      </c>
      <c r="B36" t="inlineStr">
        <is>
          <t>2026-0409-005</t>
        </is>
      </c>
      <c r="C36" t="inlineStr">
        <is>
          <t>AI/LLM Threat</t>
        </is>
      </c>
      <c r="D36" t="inlineStr">
        <is>
          <t>Supply Chain Research</t>
        </is>
      </c>
      <c r="E36" t="inlineStr">
        <is>
          <t>arXiv:2604.03081 — Supply-Chain Poisoning in LLM Coding Agent Skill Ecosystems</t>
        </is>
      </c>
      <c r="F36" t="inlineStr">
        <is>
          <t>New paper: poisoned skill files in repos bypass user auth to achieve RCE and API-key exfiltration across LLM coding agent skill ecosystems.</t>
        </is>
      </c>
      <c r="G36" t="inlineStr">
        <is>
          <t>HIGH</t>
        </is>
      </c>
      <c r="H36" t="inlineStr">
        <is>
          <t>N/A — Research</t>
        </is>
      </c>
      <c r="I36" t="inlineStr">
        <is>
          <t>Third-party Libraries</t>
        </is>
      </c>
      <c r="J36" t="inlineStr">
        <is>
          <t>Distribution</t>
        </is>
      </c>
      <c r="K36" t="inlineStr">
        <is>
          <t>Security Risk</t>
        </is>
      </c>
      <c r="L36" t="inlineStr">
        <is>
          <t>Map</t>
        </is>
      </c>
      <c r="M36" t="inlineStr">
        <is>
          <t>SA-12, SR-3, SR-4, SI-7</t>
        </is>
      </c>
      <c r="N36" t="inlineStr">
        <is>
          <t>A.14.2.7</t>
        </is>
      </c>
      <c r="O36" t="inlineStr">
        <is>
          <t>SA-12</t>
        </is>
      </c>
      <c r="P36" t="inlineStr">
        <is>
          <t>arXiv:2604.03081 April 2026</t>
        </is>
      </c>
      <c r="Q36" t="inlineStr">
        <is>
          <t>Monitor</t>
        </is>
      </c>
    </row>
    <row r="37">
      <c r="A37" t="inlineStr">
        <is>
          <t>2026-04-09</t>
        </is>
      </c>
      <c r="B37" t="inlineStr">
        <is>
          <t>2026-0409-006</t>
        </is>
      </c>
      <c r="C37" t="inlineStr">
        <is>
          <t>AI/LLM Threat</t>
        </is>
      </c>
      <c r="D37" t="inlineStr">
        <is>
          <t>Agentic AI Financial Risk</t>
        </is>
      </c>
      <c r="E37" t="inlineStr">
        <is>
          <t>AI Trading Agent Vulnerability — $45M Crypto Protocol Breach</t>
        </is>
      </c>
      <c r="F37" t="inlineStr">
        <is>
          <t>Agentic AI trading system breached for $45M due to insufficient human oversight controls. Manipulated market signal triggered unauthorized transactions.</t>
        </is>
      </c>
      <c r="G37" t="inlineStr">
        <is>
          <t>HIGH</t>
        </is>
      </c>
      <c r="H37" t="inlineStr">
        <is>
          <t>Unknown</t>
        </is>
      </c>
      <c r="I37" t="inlineStr">
        <is>
          <t>Platform</t>
        </is>
      </c>
      <c r="J37" t="inlineStr">
        <is>
          <t>Deployment</t>
        </is>
      </c>
      <c r="K37" t="inlineStr">
        <is>
          <t>Security Risk</t>
        </is>
      </c>
      <c r="L37" t="inlineStr">
        <is>
          <t>Manage</t>
        </is>
      </c>
      <c r="M37" t="inlineStr">
        <is>
          <t>AC-3, AU-12, IR-4, SI-4</t>
        </is>
      </c>
      <c r="N37" t="inlineStr">
        <is>
          <t>A.9.4</t>
        </is>
      </c>
      <c r="O37" t="inlineStr">
        <is>
          <t>AC-3</t>
        </is>
      </c>
      <c r="P37" t="inlineStr">
        <is>
          <t>KuCoin Blog 2026</t>
        </is>
      </c>
      <c r="Q37" t="inlineStr">
        <is>
          <t>Investigate</t>
        </is>
      </c>
    </row>
    <row r="38">
      <c r="A38" t="inlineStr">
        <is>
          <t>2026-04-09</t>
        </is>
      </c>
      <c r="B38" t="inlineStr">
        <is>
          <t>2026-0409-007</t>
        </is>
      </c>
      <c r="C38" t="inlineStr">
        <is>
          <t>Supply Chain</t>
        </is>
      </c>
      <c r="D38" t="inlineStr">
        <is>
          <t>DPRK Attribution</t>
        </is>
      </c>
      <c r="E38" t="inlineStr">
        <is>
          <t>Axios NPM Supply Chain — Google Attributes to DPRK UNC1069</t>
        </is>
      </c>
      <c r="F38" t="inlineStr">
        <is>
          <t>Google attributes April 3 Axios npm compromise to North Korean UNC1069. Versions v1.14.1/v0.30.4 ship hidden plain-crypto-js RAT. 100M weekly downloads.</t>
        </is>
      </c>
      <c r="G38" t="inlineStr">
        <is>
          <t>CRITICAL</t>
        </is>
      </c>
      <c r="H38" t="inlineStr">
        <is>
          <t>UNC1069 / DPRK</t>
        </is>
      </c>
      <c r="I38" t="inlineStr">
        <is>
          <t>Third-party Libraries</t>
        </is>
      </c>
      <c r="J38" t="inlineStr">
        <is>
          <t>Distribution</t>
        </is>
      </c>
      <c r="K38" t="inlineStr">
        <is>
          <t>Security Risk</t>
        </is>
      </c>
      <c r="L38" t="inlineStr">
        <is>
          <t>Map</t>
        </is>
      </c>
      <c r="M38" t="inlineStr">
        <is>
          <t>SA-12, SR-3, SR-6, SI-7</t>
        </is>
      </c>
      <c r="N38" t="inlineStr">
        <is>
          <t>A.14.2.7</t>
        </is>
      </c>
      <c r="O38" t="inlineStr">
        <is>
          <t>SA-12</t>
        </is>
      </c>
      <c r="P38" t="inlineStr">
        <is>
          <t>Vectra AI / Dark Reading April 2026</t>
        </is>
      </c>
      <c r="Q38" t="inlineStr">
        <is>
          <t>Escalate</t>
        </is>
      </c>
    </row>
    <row r="39">
      <c r="A39" t="inlineStr">
        <is>
          <t>2026-04-09</t>
        </is>
      </c>
      <c r="B39" t="inlineStr">
        <is>
          <t>2026-0409-008</t>
        </is>
      </c>
      <c r="C39" t="inlineStr">
        <is>
          <t>Supply Chain</t>
        </is>
      </c>
      <c r="D39" t="inlineStr">
        <is>
          <t>AI Firm Breach</t>
        </is>
      </c>
      <c r="E39" t="inlineStr">
        <is>
          <t>Mercor AI $10B Breach — 4TB Data via LiteLLM (Lapsus$ / TeamPCP)</t>
        </is>
      </c>
      <c r="F39" t="inlineStr">
        <is>
          <t>Lapsus$ claims 4TB from Mercor via LiteLLM supply chain compromise. 40K+ individuals, class action filed. Meta paused AI training work.</t>
        </is>
      </c>
      <c r="G39" t="inlineStr">
        <is>
          <t>CRITICAL</t>
        </is>
      </c>
      <c r="H39" t="inlineStr">
        <is>
          <t>Lapsus$ / TeamPCP</t>
        </is>
      </c>
      <c r="I39" t="inlineStr">
        <is>
          <t>Code</t>
        </is>
      </c>
      <c r="J39" t="inlineStr">
        <is>
          <t>Delivery</t>
        </is>
      </c>
      <c r="K39" t="inlineStr">
        <is>
          <t>Privacy Risk</t>
        </is>
      </c>
      <c r="L39" t="inlineStr">
        <is>
          <t>Manage</t>
        </is>
      </c>
      <c r="M39" t="inlineStr">
        <is>
          <t>SA-12, IR-4, IR-6, SC-7</t>
        </is>
      </c>
      <c r="N39" t="inlineStr">
        <is>
          <t>A.16.1</t>
        </is>
      </c>
      <c r="O39" t="inlineStr">
        <is>
          <t>SA-12</t>
        </is>
      </c>
      <c r="P39" t="inlineStr">
        <is>
          <t>HackRead / Fortune April 2026</t>
        </is>
      </c>
      <c r="Q39" t="inlineStr">
        <is>
          <t>Escalate</t>
        </is>
      </c>
    </row>
    <row r="40">
      <c r="A40" t="inlineStr">
        <is>
          <t>2026-04-09</t>
        </is>
      </c>
      <c r="B40" t="inlineStr">
        <is>
          <t>2026-0409-009</t>
        </is>
      </c>
      <c r="C40" t="inlineStr">
        <is>
          <t>Supply Chain</t>
        </is>
      </c>
      <c r="D40" t="inlineStr">
        <is>
          <t>Cascading Wave</t>
        </is>
      </c>
      <c r="E40" t="inlineStr">
        <is>
          <t>Trivy Scanner Compromise + Anthropic Source Code Leak (10-Day Wave)</t>
        </is>
      </c>
      <c r="F40" t="inlineStr">
        <is>
          <t>Trivy security scanner compromised (recursive trust failure) + Anthropic Claude Code source accidentally published within same 10-day supply chain wave.</t>
        </is>
      </c>
      <c r="G40" t="inlineStr">
        <is>
          <t>HIGH</t>
        </is>
      </c>
      <c r="H40" t="inlineStr">
        <is>
          <t>Unknown</t>
        </is>
      </c>
      <c r="I40" t="inlineStr">
        <is>
          <t>Code</t>
        </is>
      </c>
      <c r="J40" t="inlineStr">
        <is>
          <t>Distribution</t>
        </is>
      </c>
      <c r="K40" t="inlineStr">
        <is>
          <t>Security Risk</t>
        </is>
      </c>
      <c r="L40" t="inlineStr">
        <is>
          <t>Map</t>
        </is>
      </c>
      <c r="M40" t="inlineStr">
        <is>
          <t>SA-12, SR-3, CM-3, SI-7</t>
        </is>
      </c>
      <c r="N40" t="inlineStr">
        <is>
          <t>A.14.2.7</t>
        </is>
      </c>
      <c r="O40" t="inlineStr">
        <is>
          <t>SA-12</t>
        </is>
      </c>
      <c r="P40" t="inlineStr">
        <is>
          <t>Dark Reading April 2026</t>
        </is>
      </c>
      <c r="Q40" t="inlineStr">
        <is>
          <t>Monitor</t>
        </is>
      </c>
    </row>
    <row r="41">
      <c r="A41" t="inlineStr">
        <is>
          <t>2026-04-09</t>
        </is>
      </c>
      <c r="B41" t="inlineStr">
        <is>
          <t>2026-0409-010</t>
        </is>
      </c>
      <c r="C41" t="inlineStr">
        <is>
          <t>Cloud Security</t>
        </is>
      </c>
      <c r="D41" t="inlineStr">
        <is>
          <t>Zero-Day / Patch</t>
        </is>
      </c>
      <c r="E41" t="inlineStr">
        <is>
          <t>Fortinet CVE-2026-35616 Patched — Pre-Auth RCE (CVSS 9.1, CISA KEV)</t>
        </is>
      </c>
      <c r="F41" t="inlineStr">
        <is>
          <t>Patch released for actively exploited CVE-2026-35616 (CVSS 9.1) in FortiClient EMS. Pre-auth API bypass to RCE. Added to CISA KEV.</t>
        </is>
      </c>
      <c r="G41" t="inlineStr">
        <is>
          <t>HIGH</t>
        </is>
      </c>
      <c r="H41" t="inlineStr">
        <is>
          <t>Unknown</t>
        </is>
      </c>
      <c r="I41" t="inlineStr">
        <is>
          <t>Platform</t>
        </is>
      </c>
      <c r="J41" t="inlineStr">
        <is>
          <t>Deployment</t>
        </is>
      </c>
      <c r="K41" t="inlineStr">
        <is>
          <t>Security Risk</t>
        </is>
      </c>
      <c r="L41" t="inlineStr">
        <is>
          <t>Manage</t>
        </is>
      </c>
      <c r="M41" t="inlineStr">
        <is>
          <t>SI-2, SI-5, RA-5</t>
        </is>
      </c>
      <c r="N41" t="inlineStr">
        <is>
          <t>A.12.6.1</t>
        </is>
      </c>
      <c r="O41" t="inlineStr">
        <is>
          <t>SI-2</t>
        </is>
      </c>
      <c r="P41" t="inlineStr">
        <is>
          <t>Tenable / TheHackerNews April 2026</t>
        </is>
      </c>
      <c r="Q41" t="inlineStr">
        <is>
          <t>Escalate</t>
        </is>
      </c>
    </row>
    <row r="42">
      <c r="A42" t="inlineStr">
        <is>
          <t>2026-04-09</t>
        </is>
      </c>
      <c r="B42" t="inlineStr">
        <is>
          <t>2026-0409-011</t>
        </is>
      </c>
      <c r="C42" t="inlineStr">
        <is>
          <t>Cloud Security</t>
        </is>
      </c>
      <c r="D42" t="inlineStr">
        <is>
          <t>Zero-Day</t>
        </is>
      </c>
      <c r="E42" t="inlineStr">
        <is>
          <t>Chrome Zero-Day CVE-2026-5281 — Use-After-Free in Dawn (4th in 2026)</t>
        </is>
      </c>
      <c r="F42" t="inlineStr">
        <is>
          <t>Google patched use-after-free in Dawn (WebGPU) — 4th actively exploited Chrome zero-day in 2026. Part of 21-vulnerability update.</t>
        </is>
      </c>
      <c r="G42" t="inlineStr">
        <is>
          <t>HIGH</t>
        </is>
      </c>
      <c r="H42" t="inlineStr">
        <is>
          <t>Unknown</t>
        </is>
      </c>
      <c r="I42" t="inlineStr">
        <is>
          <t>Platform</t>
        </is>
      </c>
      <c r="J42" t="inlineStr">
        <is>
          <t>Deployment</t>
        </is>
      </c>
      <c r="K42" t="inlineStr">
        <is>
          <t>Security Risk</t>
        </is>
      </c>
      <c r="L42" t="inlineStr">
        <is>
          <t>Manage</t>
        </is>
      </c>
      <c r="M42" t="inlineStr">
        <is>
          <t>SI-2, SI-5, CM-6</t>
        </is>
      </c>
      <c r="N42" t="inlineStr">
        <is>
          <t>A.12.6.1</t>
        </is>
      </c>
      <c r="O42" t="inlineStr">
        <is>
          <t>SI-2</t>
        </is>
      </c>
      <c r="P42" t="inlineStr">
        <is>
          <t>TheHackerNews April 2026</t>
        </is>
      </c>
      <c r="Q42" t="inlineStr">
        <is>
          <t>Escalate</t>
        </is>
      </c>
    </row>
    <row r="43">
      <c r="A43" t="inlineStr">
        <is>
          <t>2026-04-09</t>
        </is>
      </c>
      <c r="B43" t="inlineStr">
        <is>
          <t>2026-0409-012</t>
        </is>
      </c>
      <c r="C43" t="inlineStr">
        <is>
          <t>Cloud Security</t>
        </is>
      </c>
      <c r="D43" t="inlineStr">
        <is>
          <t>Zero-Day</t>
        </is>
      </c>
      <c r="E43" t="inlineStr">
        <is>
          <t>TrueConf Zero-Day CVE-2026-3502 — Tampered Update RCE (SE Asian Govts)</t>
        </is>
      </c>
      <c r="F43" t="inlineStr">
        <is>
          <t>CVE-2026-3502 (CVSS 7.8) exploited in wild: missing update integrity check in TrueConf allows tampered update distribution → RCE. SE Asian govt targets.</t>
        </is>
      </c>
      <c r="G43" t="inlineStr">
        <is>
          <t>HIGH</t>
        </is>
      </c>
      <c r="H43" t="inlineStr">
        <is>
          <t>Unknown / APT</t>
        </is>
      </c>
      <c r="I43" t="inlineStr">
        <is>
          <t>Platform</t>
        </is>
      </c>
      <c r="J43" t="inlineStr">
        <is>
          <t>Deployment</t>
        </is>
      </c>
      <c r="K43" t="inlineStr">
        <is>
          <t>Security Risk</t>
        </is>
      </c>
      <c r="L43" t="inlineStr">
        <is>
          <t>Manage</t>
        </is>
      </c>
      <c r="M43" t="inlineStr">
        <is>
          <t>SI-7, SI-2, SA-10</t>
        </is>
      </c>
      <c r="N43" t="inlineStr">
        <is>
          <t>A.12.6.1</t>
        </is>
      </c>
      <c r="O43" t="inlineStr">
        <is>
          <t>SI-7</t>
        </is>
      </c>
      <c r="P43" t="inlineStr">
        <is>
          <t>TheHackerNews March 2026</t>
        </is>
      </c>
      <c r="Q43" t="inlineStr">
        <is>
          <t>Investigate</t>
        </is>
      </c>
    </row>
    <row r="44">
      <c r="A44" t="inlineStr">
        <is>
          <t>2026-04-09</t>
        </is>
      </c>
      <c r="B44" t="inlineStr">
        <is>
          <t>2026-0409-013</t>
        </is>
      </c>
      <c r="C44" t="inlineStr">
        <is>
          <t>Cloud Security</t>
        </is>
      </c>
      <c r="D44" t="inlineStr">
        <is>
          <t>Healthcare Breach</t>
        </is>
      </c>
      <c r="E44" t="inlineStr">
        <is>
          <t>CareCloud Healthcare Breach — EHR Compromised, 8-Hour Outage</t>
        </is>
      </c>
      <c r="F44" t="inlineStr">
        <is>
          <t>CareCloud EHR environment breached: sensitive patient data exposed, 8-hour network disruption. Third-party forensics underway.</t>
        </is>
      </c>
      <c r="G44" t="inlineStr">
        <is>
          <t>MEDIUM</t>
        </is>
      </c>
      <c r="H44" t="inlineStr">
        <is>
          <t>Unknown</t>
        </is>
      </c>
      <c r="I44" t="inlineStr">
        <is>
          <t>Application</t>
        </is>
      </c>
      <c r="J44" t="inlineStr">
        <is>
          <t>Delivery</t>
        </is>
      </c>
      <c r="K44" t="inlineStr">
        <is>
          <t>Privacy Risk</t>
        </is>
      </c>
      <c r="L44" t="inlineStr">
        <is>
          <t>Manage</t>
        </is>
      </c>
      <c r="M44" t="inlineStr">
        <is>
          <t>IR-4, IR-6, CP-10, AU-6</t>
        </is>
      </c>
      <c r="N44" t="inlineStr">
        <is>
          <t>A.16.1</t>
        </is>
      </c>
      <c r="O44" t="inlineStr">
        <is>
          <t>IR-4</t>
        </is>
      </c>
      <c r="P44" t="inlineStr">
        <is>
          <t>Orca Security / Acronis April 2026</t>
        </is>
      </c>
      <c r="Q44" t="inlineStr">
        <is>
          <t>Monitor</t>
        </is>
      </c>
    </row>
    <row r="45">
      <c r="A45" t="inlineStr">
        <is>
          <t>2026-04-09</t>
        </is>
      </c>
      <c r="B45" t="inlineStr">
        <is>
          <t>2026-0409-014</t>
        </is>
      </c>
      <c r="C45" t="inlineStr">
        <is>
          <t>General Cyber</t>
        </is>
      </c>
      <c r="D45" t="inlineStr">
        <is>
          <t>Ransomware</t>
        </is>
      </c>
      <c r="E45" t="inlineStr">
        <is>
          <t>DragonForce Ransomware — AT Packaging Breach (April 7, 2026)</t>
        </is>
      </c>
      <c r="F45" t="inlineStr">
        <is>
          <t>DragonForce RaaS targeted AT Packaging (atpkg.com). Double extortion. Part of 168 victims in 43 countries in first week of April.</t>
        </is>
      </c>
      <c r="G45" t="inlineStr">
        <is>
          <t>HIGH</t>
        </is>
      </c>
      <c r="H45" t="inlineStr">
        <is>
          <t>DragonForce</t>
        </is>
      </c>
      <c r="I45" t="inlineStr">
        <is>
          <t>Application</t>
        </is>
      </c>
      <c r="J45" t="inlineStr">
        <is>
          <t>Delivery</t>
        </is>
      </c>
      <c r="K45" t="inlineStr">
        <is>
          <t>Security Risk</t>
        </is>
      </c>
      <c r="L45" t="inlineStr">
        <is>
          <t>Manage</t>
        </is>
      </c>
      <c r="M45" t="inlineStr">
        <is>
          <t>IR-4, CP-9, CP-10, SI-3</t>
        </is>
      </c>
      <c r="N45" t="inlineStr">
        <is>
          <t>A.16.1</t>
        </is>
      </c>
      <c r="O45" t="inlineStr">
        <is>
          <t>IR-4</t>
        </is>
      </c>
      <c r="P45" t="inlineStr">
        <is>
          <t>SharkStriker April 2026</t>
        </is>
      </c>
      <c r="Q45" t="inlineStr">
        <is>
          <t>Monitor</t>
        </is>
      </c>
    </row>
    <row r="46">
      <c r="A46" t="inlineStr">
        <is>
          <t>2026-04-09</t>
        </is>
      </c>
      <c r="B46" t="inlineStr">
        <is>
          <t>2026-0409-015</t>
        </is>
      </c>
      <c r="C46" t="inlineStr">
        <is>
          <t>General Cyber</t>
        </is>
      </c>
      <c r="D46" t="inlineStr">
        <is>
          <t>Ransomware Trend</t>
        </is>
      </c>
      <c r="E46" t="inlineStr">
        <is>
          <t>April 2026 Ransomware Surge — 168 Victims / 43 Countries (Week 1)</t>
        </is>
      </c>
      <c r="F46" t="inlineStr">
        <is>
          <t>First week April 2026: 168 ransomware victims across 43 countries, 31 operators. March total: 855. Healthcare: 3 major incidents in 8 days.</t>
        </is>
      </c>
      <c r="G46" t="inlineStr">
        <is>
          <t>HIGH</t>
        </is>
      </c>
      <c r="H46" t="inlineStr">
        <is>
          <t>Multiple Groups</t>
        </is>
      </c>
      <c r="I46" t="inlineStr">
        <is>
          <t>Application</t>
        </is>
      </c>
      <c r="J46" t="inlineStr">
        <is>
          <t>Delivery</t>
        </is>
      </c>
      <c r="K46" t="inlineStr">
        <is>
          <t>Security Risk</t>
        </is>
      </c>
      <c r="L46" t="inlineStr">
        <is>
          <t>Manage</t>
        </is>
      </c>
      <c r="M46" t="inlineStr">
        <is>
          <t>IR-4, CP-9, CP-10, SI-4</t>
        </is>
      </c>
      <c r="N46" t="inlineStr">
        <is>
          <t>A.16.1</t>
        </is>
      </c>
      <c r="O46" t="inlineStr">
        <is>
          <t>IR-4</t>
        </is>
      </c>
      <c r="P46" t="inlineStr">
        <is>
          <t>Bitdefender / SharkStriker April 2026</t>
        </is>
      </c>
      <c r="Q46" t="inlineStr">
        <is>
          <t>Monitor</t>
        </is>
      </c>
    </row>
    <row r="47">
      <c r="A47" t="inlineStr">
        <is>
          <t>2026-04-09</t>
        </is>
      </c>
      <c r="B47" t="inlineStr">
        <is>
          <t>2026-0409-016</t>
        </is>
      </c>
      <c r="C47" t="inlineStr">
        <is>
          <t>Research</t>
        </is>
      </c>
      <c r="D47" t="inlineStr">
        <is>
          <t>Red Teaming</t>
        </is>
      </c>
      <c r="E47" t="inlineStr">
        <is>
          <t>NIST CAISI: AI Agent Red-Teaming Competition Insights</t>
        </is>
      </c>
      <c r="F47" t="inlineStr">
        <is>
          <t>NIST CAISI research from large-scale public AI agent red-teaming competition (w/ Gray Swan, UK AISI): agent hijacking via indirect injection key systemic finding.</t>
        </is>
      </c>
      <c r="G47" t="inlineStr">
        <is>
          <t>INFO</t>
        </is>
      </c>
      <c r="H47" t="inlineStr">
        <is>
          <t>N/A</t>
        </is>
      </c>
      <c r="I47" t="inlineStr">
        <is>
          <t>N/A</t>
        </is>
      </c>
      <c r="J47" t="inlineStr">
        <is>
          <t>N/A</t>
        </is>
      </c>
      <c r="K47" t="inlineStr">
        <is>
          <t>N/A</t>
        </is>
      </c>
      <c r="L47" t="inlineStr">
        <is>
          <t>Govern</t>
        </is>
      </c>
      <c r="M47" t="inlineStr">
        <is>
          <t>CA-8, RA-5</t>
        </is>
      </c>
      <c r="N47" t="inlineStr">
        <is>
          <t>A.18.2</t>
        </is>
      </c>
      <c r="O47" t="inlineStr">
        <is>
          <t>CA-8</t>
        </is>
      </c>
      <c r="P47" t="inlineStr">
        <is>
          <t>NIST CAISI Blog 2026</t>
        </is>
      </c>
      <c r="Q47" t="inlineStr">
        <is>
          <t>N/A</t>
        </is>
      </c>
    </row>
    <row r="48">
      <c r="A48" t="inlineStr">
        <is>
          <t>2026-04-09</t>
        </is>
      </c>
      <c r="B48" t="inlineStr">
        <is>
          <t>2026-0409-017</t>
        </is>
      </c>
      <c r="C48" t="inlineStr">
        <is>
          <t>Research</t>
        </is>
      </c>
      <c r="D48" t="inlineStr">
        <is>
          <t>Standards Update</t>
        </is>
      </c>
      <c r="E48" t="inlineStr">
        <is>
          <t>OWASP MCP Top 10 Published — Security Standard for MCP</t>
        </is>
      </c>
      <c r="F48" t="inlineStr">
        <is>
          <t>OWASP published MCP Top 10: addresses tool poisoning, prompt injection via MCP, insufficient authorization, insecure data flows, and protocol-level attacks.</t>
        </is>
      </c>
      <c r="G48" t="inlineStr">
        <is>
          <t>INFO</t>
        </is>
      </c>
      <c r="H48" t="inlineStr">
        <is>
          <t>N/A</t>
        </is>
      </c>
      <c r="I48" t="inlineStr">
        <is>
          <t>N/A</t>
        </is>
      </c>
      <c r="J48" t="inlineStr">
        <is>
          <t>N/A</t>
        </is>
      </c>
      <c r="K48" t="inlineStr">
        <is>
          <t>N/A</t>
        </is>
      </c>
      <c r="L48" t="inlineStr">
        <is>
          <t>Govern</t>
        </is>
      </c>
      <c r="M48" t="inlineStr">
        <is>
          <t>PL-2, CA-8, SA-8</t>
        </is>
      </c>
      <c r="N48" t="inlineStr">
        <is>
          <t>A.5.1</t>
        </is>
      </c>
      <c r="O48" t="inlineStr">
        <is>
          <t>PL-2</t>
        </is>
      </c>
      <c r="P48" t="inlineStr">
        <is>
          <t>OWASP Foundation 2026</t>
        </is>
      </c>
      <c r="Q48" t="inlineStr">
        <is>
          <t>N/A</t>
        </is>
      </c>
    </row>
    <row r="49">
      <c r="A49" t="inlineStr">
        <is>
          <t>2026-04-09</t>
        </is>
      </c>
      <c r="B49" t="inlineStr">
        <is>
          <t>2026-0409-018</t>
        </is>
      </c>
      <c r="C49" t="inlineStr">
        <is>
          <t>Research</t>
        </is>
      </c>
      <c r="D49" t="inlineStr">
        <is>
          <t>Tool / Framework</t>
        </is>
      </c>
      <c r="E49" t="inlineStr">
        <is>
          <t>Votal AI RLHF Adversarial Attacker Model Launch (RSA 2026)</t>
        </is>
      </c>
      <c r="F49" t="inlineStr">
        <is>
          <t>Votal AI launches RLHF-trained adversarial attacker model and open-source catalog: 35+ categories, 185+ techniques, 8 multi-agent scenarios. NIST AI RMF aligned.</t>
        </is>
      </c>
      <c r="G49" t="inlineStr">
        <is>
          <t>INFO</t>
        </is>
      </c>
      <c r="H49" t="inlineStr">
        <is>
          <t>N/A</t>
        </is>
      </c>
      <c r="I49" t="inlineStr">
        <is>
          <t>N/A</t>
        </is>
      </c>
      <c r="J49" t="inlineStr">
        <is>
          <t>N/A</t>
        </is>
      </c>
      <c r="K49" t="inlineStr">
        <is>
          <t>N/A</t>
        </is>
      </c>
      <c r="L49" t="inlineStr">
        <is>
          <t>Govern</t>
        </is>
      </c>
      <c r="M49" t="inlineStr">
        <is>
          <t>CA-8, RA-5, SA-11</t>
        </is>
      </c>
      <c r="N49" t="inlineStr">
        <is>
          <t>A.18.2</t>
        </is>
      </c>
      <c r="O49" t="inlineStr">
        <is>
          <t>CA-8</t>
        </is>
      </c>
      <c r="P49" t="inlineStr">
        <is>
          <t>GlobeNewswire March 2026</t>
        </is>
      </c>
      <c r="Q49" t="inlineStr">
        <is>
          <t>N/A</t>
        </is>
      </c>
    </row>
    <row r="50">
      <c r="A50" t="inlineStr">
        <is>
          <t>2026-04-10</t>
        </is>
      </c>
      <c r="B50" t="inlineStr">
        <is>
          <t>2026-0410-001</t>
        </is>
      </c>
      <c r="C50" t="inlineStr">
        <is>
          <t>AI/LLM Threat</t>
        </is>
      </c>
      <c r="D50" t="inlineStr">
        <is>
          <t>AI Vulnerability Discovery</t>
        </is>
      </c>
      <c r="E50" t="inlineStr">
        <is>
          <t>Claude Mythos Preview — AI-Powered Zero-Day Discovery at Scale</t>
        </is>
      </c>
      <c r="F50" t="inlineStr">
        <is>
          <t>Anthropic released Claude Mythos Preview under Project Glasswing — autonomously discovers zero-day vulnerabilities. Found thousands of high-severity zero-days across every major OS and browser including 27-year-old OpenBSD flaw. 181/~300 Firefox 147 JS engine exploits vs Opus 4.6's 2. Limited to 12 partners for defensive use.</t>
        </is>
      </c>
      <c r="G50" t="inlineStr">
        <is>
          <t>CRITICAL</t>
        </is>
      </c>
      <c r="H50" t="inlineStr">
        <is>
          <t>N/A — Anthropic</t>
        </is>
      </c>
      <c r="I50" t="inlineStr">
        <is>
          <t>Platform</t>
        </is>
      </c>
      <c r="J50" t="inlineStr">
        <is>
          <t>All Stages</t>
        </is>
      </c>
      <c r="K50" t="inlineStr">
        <is>
          <t>Security Risk</t>
        </is>
      </c>
      <c r="L50" t="inlineStr">
        <is>
          <t>Govern</t>
        </is>
      </c>
      <c r="M50" t="inlineStr">
        <is>
          <t>CA-8, RA-5, SI-2</t>
        </is>
      </c>
      <c r="N50" t="inlineStr">
        <is>
          <t>A.18.2</t>
        </is>
      </c>
      <c r="O50" t="inlineStr">
        <is>
          <t>CA-8</t>
        </is>
      </c>
      <c r="P50" t="inlineStr">
        <is>
          <t>The Hacker News / Anthropic</t>
        </is>
      </c>
      <c r="Q50" t="inlineStr">
        <is>
          <t>Monitor</t>
        </is>
      </c>
    </row>
    <row r="51">
      <c r="A51" t="inlineStr">
        <is>
          <t>2026-04-10</t>
        </is>
      </c>
      <c r="B51" t="inlineStr">
        <is>
          <t>2026-0410-002</t>
        </is>
      </c>
      <c r="C51" t="inlineStr">
        <is>
          <t>AI/LLM Threat</t>
        </is>
      </c>
      <c r="D51" t="inlineStr">
        <is>
          <t>Prompt Injection</t>
        </is>
      </c>
      <c r="E51" t="inlineStr">
        <is>
          <t>Prompt Injection Surge — 340% Increase in 2026, 88% Success Rate</t>
        </is>
      </c>
      <c r="F51" t="inlineStr">
        <is>
          <t>Prompt injection attacks surged 340% in 2026 with success rates up to 88%. First wave of fully autonomous AI-driven intrusion attempts requiring no human oversight from attackers. Combined with indirect injection achieving 80-90% exfiltration success.</t>
        </is>
      </c>
      <c r="G51" t="inlineStr">
        <is>
          <t>CRITICAL</t>
        </is>
      </c>
      <c r="H51" t="inlineStr">
        <is>
          <t>Multiple / Automated</t>
        </is>
      </c>
      <c r="I51" t="inlineStr">
        <is>
          <t>Prompt</t>
        </is>
      </c>
      <c r="J51" t="inlineStr">
        <is>
          <t>All Stages</t>
        </is>
      </c>
      <c r="K51" t="inlineStr">
        <is>
          <t>Security Risk</t>
        </is>
      </c>
      <c r="L51" t="inlineStr">
        <is>
          <t>Measure</t>
        </is>
      </c>
      <c r="M51" t="inlineStr">
        <is>
          <t>SI-10, AC-3, IR-4</t>
        </is>
      </c>
      <c r="N51" t="inlineStr">
        <is>
          <t>A.14.2.5</t>
        </is>
      </c>
      <c r="O51" t="inlineStr">
        <is>
          <t>SI-10</t>
        </is>
      </c>
      <c r="P51" t="inlineStr">
        <is>
          <t>Security Boulevard / Markaicode</t>
        </is>
      </c>
      <c r="Q51" t="inlineStr">
        <is>
          <t>Escalate</t>
        </is>
      </c>
    </row>
    <row r="52">
      <c r="A52" t="inlineStr">
        <is>
          <t>2026-04-10</t>
        </is>
      </c>
      <c r="B52" t="inlineStr">
        <is>
          <t>2026-0410-003</t>
        </is>
      </c>
      <c r="C52" t="inlineStr">
        <is>
          <t>AI/LLM Threat</t>
        </is>
      </c>
      <c r="D52" t="inlineStr">
        <is>
          <t>Protocol Vulnerability</t>
        </is>
      </c>
      <c r="E52" t="inlineStr">
        <is>
          <t>MCP Defense-Placement Taxonomy (arXiv:2604.07551)</t>
        </is>
      </c>
      <c r="F52" t="inlineStr">
        <is>
          <t>New paper MCP-DPT provides systematic analysis of MCP attack surfaces across 5 layers. MCP 2.4 spec mandates tool sandboxing. 43% of tested MCP servers have command injection vulnerabilities.</t>
        </is>
      </c>
      <c r="G52" t="inlineStr">
        <is>
          <t>HIGH</t>
        </is>
      </c>
      <c r="H52" t="inlineStr">
        <is>
          <t>N/A — Research</t>
        </is>
      </c>
      <c r="I52" t="inlineStr">
        <is>
          <t>Toolchain</t>
        </is>
      </c>
      <c r="J52" t="inlineStr">
        <is>
          <t>Deployment</t>
        </is>
      </c>
      <c r="K52" t="inlineStr">
        <is>
          <t>Security Risk</t>
        </is>
      </c>
      <c r="L52" t="inlineStr">
        <is>
          <t>Map</t>
        </is>
      </c>
      <c r="M52" t="inlineStr">
        <is>
          <t>SA-12, SI-7, AC-3</t>
        </is>
      </c>
      <c r="N52" t="inlineStr">
        <is>
          <t>A.14.2.5</t>
        </is>
      </c>
      <c r="O52" t="inlineStr">
        <is>
          <t>SA-12</t>
        </is>
      </c>
      <c r="P52" t="inlineStr">
        <is>
          <t>arXiv / Practical DevSecOps</t>
        </is>
      </c>
      <c r="Q52" t="inlineStr">
        <is>
          <t>Monitor</t>
        </is>
      </c>
    </row>
    <row r="53">
      <c r="A53" t="inlineStr">
        <is>
          <t>2026-04-10</t>
        </is>
      </c>
      <c r="B53" t="inlineStr">
        <is>
          <t>2026-0410-004</t>
        </is>
      </c>
      <c r="C53" t="inlineStr">
        <is>
          <t>AI/LLM Threat</t>
        </is>
      </c>
      <c r="D53" t="inlineStr">
        <is>
          <t>Agentic AI Risk</t>
        </is>
      </c>
      <c r="E53" t="inlineStr">
        <is>
          <t>Agentic AI #1 Attack Vector — 70% Enterprise Incident Rate</t>
        </is>
      </c>
      <c r="F53" t="inlineStr">
        <is>
          <t>70% of enterprises using AI agents have experienced security incidents. Only 34% have AI-specific security controls. Autonomous agent systems introduce new categories of risk beyond text generation.</t>
        </is>
      </c>
      <c r="G53" t="inlineStr">
        <is>
          <t>HIGH</t>
        </is>
      </c>
      <c r="H53" t="inlineStr">
        <is>
          <t>N/A</t>
        </is>
      </c>
      <c r="I53" t="inlineStr">
        <is>
          <t>Platform</t>
        </is>
      </c>
      <c r="J53" t="inlineStr">
        <is>
          <t>Deployment</t>
        </is>
      </c>
      <c r="K53" t="inlineStr">
        <is>
          <t>Security Risk</t>
        </is>
      </c>
      <c r="L53" t="inlineStr">
        <is>
          <t>Govern</t>
        </is>
      </c>
      <c r="M53" t="inlineStr">
        <is>
          <t>PL-2, RA-5, AC-3</t>
        </is>
      </c>
      <c r="N53" t="inlineStr">
        <is>
          <t>A.5.1</t>
        </is>
      </c>
      <c r="O53" t="inlineStr">
        <is>
          <t>PL-2</t>
        </is>
      </c>
      <c r="P53" t="inlineStr">
        <is>
          <t>FireTail / Security Boulevard</t>
        </is>
      </c>
      <c r="Q53" t="inlineStr">
        <is>
          <t>Monitor</t>
        </is>
      </c>
    </row>
    <row r="54">
      <c r="A54" t="inlineStr">
        <is>
          <t>2026-04-10</t>
        </is>
      </c>
      <c r="B54" t="inlineStr">
        <is>
          <t>2026-0410-005</t>
        </is>
      </c>
      <c r="C54" t="inlineStr">
        <is>
          <t>AI/LLM Threat</t>
        </is>
      </c>
      <c r="D54" t="inlineStr">
        <is>
          <t>MCP Vulnerability</t>
        </is>
      </c>
      <c r="E54" t="inlineStr">
        <is>
          <t>MCP Server Supply Chain — 67,057 Servers Audited, Widespread Hijackability</t>
        </is>
      </c>
      <c r="F54" t="inlineStr">
        <is>
          <t>Academic analysis of 67,057 MCP servers across 6 public registries found substantial hijackability. Data leakage across client boundaries confirmed. MCP 2.4 adds mandatory sandboxing but adoption lags.</t>
        </is>
      </c>
      <c r="G54" t="inlineStr">
        <is>
          <t>HIGH</t>
        </is>
      </c>
      <c r="H54" t="inlineStr">
        <is>
          <t>N/A — Research</t>
        </is>
      </c>
      <c r="I54" t="inlineStr">
        <is>
          <t>Toolchain</t>
        </is>
      </c>
      <c r="J54" t="inlineStr">
        <is>
          <t>Distribution</t>
        </is>
      </c>
      <c r="K54" t="inlineStr">
        <is>
          <t>Security Risk</t>
        </is>
      </c>
      <c r="L54" t="inlineStr">
        <is>
          <t>Map</t>
        </is>
      </c>
      <c r="M54" t="inlineStr">
        <is>
          <t>SA-12, SR-3, SI-7</t>
        </is>
      </c>
      <c r="N54" t="inlineStr">
        <is>
          <t>A.14.2.7</t>
        </is>
      </c>
      <c r="O54" t="inlineStr">
        <is>
          <t>SA-12</t>
        </is>
      </c>
      <c r="P54" t="inlineStr">
        <is>
          <t>Vulnerable MCP Project / arXiv</t>
        </is>
      </c>
      <c r="Q54" t="inlineStr">
        <is>
          <t>Monitor</t>
        </is>
      </c>
    </row>
    <row r="55">
      <c r="A55" t="inlineStr">
        <is>
          <t>2026-04-10</t>
        </is>
      </c>
      <c r="B55" t="inlineStr">
        <is>
          <t>2026-0410-006</t>
        </is>
      </c>
      <c r="C55" t="inlineStr">
        <is>
          <t>AI/LLM Threat</t>
        </is>
      </c>
      <c r="D55" t="inlineStr">
        <is>
          <t>Shadow AI/RAG</t>
        </is>
      </c>
      <c r="E55" t="inlineStr">
        <is>
          <t>LLM Security Risk Landscape 2026 — Shadow AI, RAG, and Memory Attacks</t>
        </is>
      </c>
      <c r="F55" t="inlineStr">
        <is>
          <t>Shadow AI is now most common entry point for data leakage. RAG poisoning manipulates retrieval systems. Memory-based agents create persistent attack surfaces. Attackers use AI to discover vulnerabilities faster than defenders respond.</t>
        </is>
      </c>
      <c r="G55" t="inlineStr">
        <is>
          <t>MEDIUM</t>
        </is>
      </c>
      <c r="H55" t="inlineStr">
        <is>
          <t>N/A</t>
        </is>
      </c>
      <c r="I55" t="inlineStr">
        <is>
          <t>Data</t>
        </is>
      </c>
      <c r="J55" t="inlineStr">
        <is>
          <t>All Stages</t>
        </is>
      </c>
      <c r="K55" t="inlineStr">
        <is>
          <t>Privacy Risk</t>
        </is>
      </c>
      <c r="L55" t="inlineStr">
        <is>
          <t>Measure</t>
        </is>
      </c>
      <c r="M55" t="inlineStr">
        <is>
          <t>SI-7, SI-10, CM-8</t>
        </is>
      </c>
      <c r="N55" t="inlineStr">
        <is>
          <t>A.14.1.2</t>
        </is>
      </c>
      <c r="O55" t="inlineStr">
        <is>
          <t>SI-7</t>
        </is>
      </c>
      <c r="P55" t="inlineStr">
        <is>
          <t>Sombra Inc / USCS Institute</t>
        </is>
      </c>
      <c r="Q55" t="inlineStr">
        <is>
          <t>Monitor</t>
        </is>
      </c>
    </row>
    <row r="56">
      <c r="A56" t="inlineStr">
        <is>
          <t>2026-04-10</t>
        </is>
      </c>
      <c r="B56" t="inlineStr">
        <is>
          <t>2026-0410-007</t>
        </is>
      </c>
      <c r="C56" t="inlineStr">
        <is>
          <t>Supply Chain</t>
        </is>
      </c>
      <c r="D56" t="inlineStr">
        <is>
          <t>OSS Scanner Compromise</t>
        </is>
      </c>
      <c r="E56" t="inlineStr">
        <is>
          <t>Trivy Supply Chain Attack — European Commission 300GB Breach via TeamPCP</t>
        </is>
      </c>
      <c r="F56" t="inlineStr">
        <is>
          <t>CVE-2026-33634: Trivy scanner compromised via misconfigured GitHub Actions. Malicious v0.69.4 exfiltrated API tokens, cloud creds, SSH keys from CI/CD systems. European Commission lost 300GB from AWS. Microsoft released detection guidance.</t>
        </is>
      </c>
      <c r="G56" t="inlineStr">
        <is>
          <t>CRITICAL</t>
        </is>
      </c>
      <c r="H56" t="inlineStr">
        <is>
          <t>TeamPCP</t>
        </is>
      </c>
      <c r="I56" t="inlineStr">
        <is>
          <t>Code</t>
        </is>
      </c>
      <c r="J56" t="inlineStr">
        <is>
          <t>Distribution</t>
        </is>
      </c>
      <c r="K56" t="inlineStr">
        <is>
          <t>Security Risk</t>
        </is>
      </c>
      <c r="L56" t="inlineStr">
        <is>
          <t>Map</t>
        </is>
      </c>
      <c r="M56" t="inlineStr">
        <is>
          <t>SA-12, SR-3, SI-7, CM-3</t>
        </is>
      </c>
      <c r="N56" t="inlineStr">
        <is>
          <t>A.14.2.7</t>
        </is>
      </c>
      <c r="O56" t="inlineStr">
        <is>
          <t>SA-12</t>
        </is>
      </c>
      <c r="P56" t="inlineStr">
        <is>
          <t>InfoQ / Aqua Security / SecurityWeek</t>
        </is>
      </c>
      <c r="Q56" t="inlineStr">
        <is>
          <t>Escalate</t>
        </is>
      </c>
    </row>
    <row r="57">
      <c r="A57" t="inlineStr">
        <is>
          <t>2026-04-10</t>
        </is>
      </c>
      <c r="B57" t="inlineStr">
        <is>
          <t>2026-0410-008</t>
        </is>
      </c>
      <c r="C57" t="inlineStr">
        <is>
          <t>Supply Chain</t>
        </is>
      </c>
      <c r="D57" t="inlineStr">
        <is>
          <t>Cascading Wave</t>
        </is>
      </c>
      <c r="E57" t="inlineStr">
        <is>
          <t>Axios NPM + LiteLLM + Trivy — Cascading Supply Chain Wave Continues</t>
        </is>
      </c>
      <c r="F57" t="inlineStr">
        <is>
          <t>Three major supply chain attacks within 10 days: Axios npm (DPRK UNC1069, 100M weekly downloads), LiteLLM PyPI (TeamPCP infostealer), Trivy (TeamPCP credential theft). Security tools themselves now primary targets.</t>
        </is>
      </c>
      <c r="G57" t="inlineStr">
        <is>
          <t>CRITICAL</t>
        </is>
      </c>
      <c r="H57" t="inlineStr">
        <is>
          <t>UNC1069/DPRK, TeamPCP</t>
        </is>
      </c>
      <c r="I57" t="inlineStr">
        <is>
          <t>Third-party Libraries</t>
        </is>
      </c>
      <c r="J57" t="inlineStr">
        <is>
          <t>Distribution</t>
        </is>
      </c>
      <c r="K57" t="inlineStr">
        <is>
          <t>Security Risk</t>
        </is>
      </c>
      <c r="L57" t="inlineStr">
        <is>
          <t>Map</t>
        </is>
      </c>
      <c r="M57" t="inlineStr">
        <is>
          <t>SA-12, SR-3, SR-6, SI-7</t>
        </is>
      </c>
      <c r="N57" t="inlineStr">
        <is>
          <t>A.14.2.7</t>
        </is>
      </c>
      <c r="O57" t="inlineStr">
        <is>
          <t>SA-12</t>
        </is>
      </c>
      <c r="P57" t="inlineStr">
        <is>
          <t>Cisco Talos / CyberSecurity Pulse</t>
        </is>
      </c>
      <c r="Q57" t="inlineStr">
        <is>
          <t>Escalate</t>
        </is>
      </c>
    </row>
    <row r="58">
      <c r="A58" t="inlineStr">
        <is>
          <t>2026-04-10</t>
        </is>
      </c>
      <c r="B58" t="inlineStr">
        <is>
          <t>2026-0410-009</t>
        </is>
      </c>
      <c r="C58" t="inlineStr">
        <is>
          <t>Supply Chain</t>
        </is>
      </c>
      <c r="D58" t="inlineStr">
        <is>
          <t>AI Firm Breach</t>
        </is>
      </c>
      <c r="E58" t="inlineStr">
        <is>
          <t>Mercor AI $10B Breach — 4TB Exfiltrated, Class Action Filed</t>
        </is>
      </c>
      <c r="F58" t="inlineStr">
        <is>
          <t>Lapsus$ claims 4TB from Mercor via LiteLLM supply chain: 200GB+ DB, 3TB video, 939GB source code, TailScale VPN. 40K+ individuals affected. Class action filed. Meta paused AI training work.</t>
        </is>
      </c>
      <c r="G58" t="inlineStr">
        <is>
          <t>HIGH</t>
        </is>
      </c>
      <c r="H58" t="inlineStr">
        <is>
          <t>Lapsus$ / TeamPCP</t>
        </is>
      </c>
      <c r="I58" t="inlineStr">
        <is>
          <t>Code</t>
        </is>
      </c>
      <c r="J58" t="inlineStr">
        <is>
          <t>Delivery</t>
        </is>
      </c>
      <c r="K58" t="inlineStr">
        <is>
          <t>Privacy Risk</t>
        </is>
      </c>
      <c r="L58" t="inlineStr">
        <is>
          <t>Manage</t>
        </is>
      </c>
      <c r="M58" t="inlineStr">
        <is>
          <t>SA-12, IR-4, IR-6, SC-7</t>
        </is>
      </c>
      <c r="N58" t="inlineStr">
        <is>
          <t>A.16.1</t>
        </is>
      </c>
      <c r="O58" t="inlineStr">
        <is>
          <t>SA-12</t>
        </is>
      </c>
      <c r="P58" t="inlineStr">
        <is>
          <t>The AI Insider / CyberSecurity Pulse</t>
        </is>
      </c>
      <c r="Q58" t="inlineStr">
        <is>
          <t>Investigate</t>
        </is>
      </c>
    </row>
    <row r="59">
      <c r="A59" t="inlineStr">
        <is>
          <t>2026-04-10</t>
        </is>
      </c>
      <c r="B59" t="inlineStr">
        <is>
          <t>2026-0410-010</t>
        </is>
      </c>
      <c r="C59" t="inlineStr">
        <is>
          <t>Cloud Security</t>
        </is>
      </c>
      <c r="D59" t="inlineStr">
        <is>
          <t>Zero-Day</t>
        </is>
      </c>
      <c r="E59" t="inlineStr">
        <is>
          <t>Fortinet FortiClient EMS CVE-2026-35616 — Pre-Auth RCE (CVSS 9.8)</t>
        </is>
      </c>
      <c r="F59" t="inlineStr">
        <is>
          <t>CVE-2026-35616 CVSS 9.8 — pre-auth API bypass to RCE in FortiClient EMS. Actively exploited. CISA KEV. Out-of-band patches released. Immediate patching required.</t>
        </is>
      </c>
      <c r="G59" t="inlineStr">
        <is>
          <t>CRITICAL</t>
        </is>
      </c>
      <c r="H59" t="inlineStr">
        <is>
          <t>Unknown</t>
        </is>
      </c>
      <c r="I59" t="inlineStr">
        <is>
          <t>Platform</t>
        </is>
      </c>
      <c r="J59" t="inlineStr">
        <is>
          <t>Deployment</t>
        </is>
      </c>
      <c r="K59" t="inlineStr">
        <is>
          <t>Security Risk</t>
        </is>
      </c>
      <c r="L59" t="inlineStr">
        <is>
          <t>Manage</t>
        </is>
      </c>
      <c r="M59" t="inlineStr">
        <is>
          <t>SI-2, SI-5, RA-5</t>
        </is>
      </c>
      <c r="N59" t="inlineStr">
        <is>
          <t>A.12.6</t>
        </is>
      </c>
      <c r="O59" t="inlineStr">
        <is>
          <t>SI-2</t>
        </is>
      </c>
      <c r="P59" t="inlineStr">
        <is>
          <t>Tenable / The Hacker News / CyberScoop</t>
        </is>
      </c>
      <c r="Q59" t="inlineStr">
        <is>
          <t>Escalate</t>
        </is>
      </c>
    </row>
    <row r="60">
      <c r="A60" t="inlineStr">
        <is>
          <t>2026-04-10</t>
        </is>
      </c>
      <c r="B60" t="inlineStr">
        <is>
          <t>2026-0410-011</t>
        </is>
      </c>
      <c r="C60" t="inlineStr">
        <is>
          <t>Cloud Security</t>
        </is>
      </c>
      <c r="D60" t="inlineStr">
        <is>
          <t>Zero-Day</t>
        </is>
      </c>
      <c r="E60" t="inlineStr">
        <is>
          <t>Chrome Zero-Day CVE-2026-5281 + CVE-2026-2441 — 4th &amp; 5th Exploited in 2026</t>
        </is>
      </c>
      <c r="F60" t="inlineStr">
        <is>
          <t>Two actively exploited Chrome zero-days: CVE-2026-5281 (use-after-free in Dawn/WebGPU) and CVE-2026-2441 (arbitrary code execution). 4th and 5th Chrome zero-days in 2026. Different subsystems targeted.</t>
        </is>
      </c>
      <c r="G60" t="inlineStr">
        <is>
          <t>HIGH</t>
        </is>
      </c>
      <c r="H60" t="inlineStr">
        <is>
          <t>Unknown</t>
        </is>
      </c>
      <c r="I60" t="inlineStr">
        <is>
          <t>Platform</t>
        </is>
      </c>
      <c r="J60" t="inlineStr">
        <is>
          <t>Deployment</t>
        </is>
      </c>
      <c r="K60" t="inlineStr">
        <is>
          <t>Security Risk</t>
        </is>
      </c>
      <c r="L60" t="inlineStr">
        <is>
          <t>Manage</t>
        </is>
      </c>
      <c r="M60" t="inlineStr">
        <is>
          <t>SI-2, SI-5, CM-6</t>
        </is>
      </c>
      <c r="N60" t="inlineStr">
        <is>
          <t>A.12.6.1</t>
        </is>
      </c>
      <c r="O60" t="inlineStr">
        <is>
          <t>SI-2</t>
        </is>
      </c>
      <c r="P60" t="inlineStr">
        <is>
          <t>Orca Security / Google</t>
        </is>
      </c>
      <c r="Q60" t="inlineStr">
        <is>
          <t>Escalate</t>
        </is>
      </c>
    </row>
    <row r="61">
      <c r="A61" t="inlineStr">
        <is>
          <t>2026-04-10</t>
        </is>
      </c>
      <c r="B61" t="inlineStr">
        <is>
          <t>2026-0410-012</t>
        </is>
      </c>
      <c r="C61" t="inlineStr">
        <is>
          <t>Cloud Security</t>
        </is>
      </c>
      <c r="D61" t="inlineStr">
        <is>
          <t>Zero-Day</t>
        </is>
      </c>
      <c r="E61" t="inlineStr">
        <is>
          <t>TrueConf CVE-2026-3502 — SE Asian Government Network Espionage</t>
        </is>
      </c>
      <c r="F61" t="inlineStr">
        <is>
          <t>CVE-2026-3502 CVSS 7.8: missing update integrity check enables tampered update RCE. Used against SE Asian government networks in espionage campaign.</t>
        </is>
      </c>
      <c r="G61" t="inlineStr">
        <is>
          <t>HIGH</t>
        </is>
      </c>
      <c r="H61" t="inlineStr">
        <is>
          <t>Unknown / APT</t>
        </is>
      </c>
      <c r="I61" t="inlineStr">
        <is>
          <t>Platform</t>
        </is>
      </c>
      <c r="J61" t="inlineStr">
        <is>
          <t>Deployment</t>
        </is>
      </c>
      <c r="K61" t="inlineStr">
        <is>
          <t>Security Risk</t>
        </is>
      </c>
      <c r="L61" t="inlineStr">
        <is>
          <t>Manage</t>
        </is>
      </c>
      <c r="M61" t="inlineStr">
        <is>
          <t>SI-7, SI-2, SA-10</t>
        </is>
      </c>
      <c r="N61" t="inlineStr">
        <is>
          <t>A.12.6.1</t>
        </is>
      </c>
      <c r="O61" t="inlineStr">
        <is>
          <t>SI-7</t>
        </is>
      </c>
      <c r="P61" t="inlineStr">
        <is>
          <t>The Hacker News</t>
        </is>
      </c>
      <c r="Q61" t="inlineStr">
        <is>
          <t>Investigate</t>
        </is>
      </c>
    </row>
    <row r="62">
      <c r="A62" t="inlineStr">
        <is>
          <t>2026-04-10</t>
        </is>
      </c>
      <c r="B62" t="inlineStr">
        <is>
          <t>2026-0410-013</t>
        </is>
      </c>
      <c r="C62" t="inlineStr">
        <is>
          <t>Cloud Security</t>
        </is>
      </c>
      <c r="D62" t="inlineStr">
        <is>
          <t>Healthcare Breach</t>
        </is>
      </c>
      <c r="E62" t="inlineStr">
        <is>
          <t>Healthcare Breach Cluster — CareCloud, ChipSoft, Interlock (3 in 10 Days)</t>
        </is>
      </c>
      <c r="F62" t="inlineStr">
        <is>
          <t>CareCloud EHR breach exposed patient data from 45,000+ providers. ChipSoft (80% Dutch hospitals) offline. Interlock group hit Center for Hearing. Third cluster in 10 days. Millions of patients impacted.</t>
        </is>
      </c>
      <c r="G62" t="inlineStr">
        <is>
          <t>MEDIUM</t>
        </is>
      </c>
      <c r="H62" t="inlineStr">
        <is>
          <t>Multiple</t>
        </is>
      </c>
      <c r="I62" t="inlineStr">
        <is>
          <t>Application</t>
        </is>
      </c>
      <c r="J62" t="inlineStr">
        <is>
          <t>Delivery</t>
        </is>
      </c>
      <c r="K62" t="inlineStr">
        <is>
          <t>Privacy Risk</t>
        </is>
      </c>
      <c r="L62" t="inlineStr">
        <is>
          <t>Manage</t>
        </is>
      </c>
      <c r="M62" t="inlineStr">
        <is>
          <t>IR-4, IR-6, CP-10, AU-6</t>
        </is>
      </c>
      <c r="N62" t="inlineStr">
        <is>
          <t>A.16.1</t>
        </is>
      </c>
      <c r="O62" t="inlineStr">
        <is>
          <t>IR-4</t>
        </is>
      </c>
      <c r="P62" t="inlineStr">
        <is>
          <t>HIPAA Journal / TechCrunch</t>
        </is>
      </c>
      <c r="Q62" t="inlineStr">
        <is>
          <t>Monitor</t>
        </is>
      </c>
    </row>
    <row r="63">
      <c r="A63" t="inlineStr">
        <is>
          <t>2026-04-10</t>
        </is>
      </c>
      <c r="B63" t="inlineStr">
        <is>
          <t>2026-0410-014</t>
        </is>
      </c>
      <c r="C63" t="inlineStr">
        <is>
          <t>General Cyber</t>
        </is>
      </c>
      <c r="D63" t="inlineStr">
        <is>
          <t>Ransomware</t>
        </is>
      </c>
      <c r="E63" t="inlineStr">
        <is>
          <t>April 2026 Ransomware Acceleration — 168 Victims, 43 Countries, Week 1</t>
        </is>
      </c>
      <c r="F63" t="inlineStr">
        <is>
          <t>First week April 2026: 168 ransomware victims, 43 countries, 31 operators. March total: 855. Handala 23 victims, Qilin 1800+ cumulative. DragonForce expanding. Healthcare hit 3 times in 8 days.</t>
        </is>
      </c>
      <c r="G63" t="inlineStr">
        <is>
          <t>HIGH</t>
        </is>
      </c>
      <c r="H63" t="inlineStr">
        <is>
          <t>Multiple (Handala, Qilin, DragonForce)</t>
        </is>
      </c>
      <c r="I63" t="inlineStr">
        <is>
          <t>Application</t>
        </is>
      </c>
      <c r="J63" t="inlineStr">
        <is>
          <t>Delivery</t>
        </is>
      </c>
      <c r="K63" t="inlineStr">
        <is>
          <t>Security Risk</t>
        </is>
      </c>
      <c r="L63" t="inlineStr">
        <is>
          <t>Manage</t>
        </is>
      </c>
      <c r="M63" t="inlineStr">
        <is>
          <t>IR-4, CP-9, CP-10, SI-4</t>
        </is>
      </c>
      <c r="N63" t="inlineStr">
        <is>
          <t>A.16.1</t>
        </is>
      </c>
      <c r="O63" t="inlineStr">
        <is>
          <t>IR-4</t>
        </is>
      </c>
      <c r="P63" t="inlineStr">
        <is>
          <t>SharkStriker / BlackFog / Bitdefender</t>
        </is>
      </c>
      <c r="Q63" t="inlineStr">
        <is>
          <t>Monitor</t>
        </is>
      </c>
    </row>
    <row r="64">
      <c r="A64" t="inlineStr">
        <is>
          <t>2026-04-10</t>
        </is>
      </c>
      <c r="B64" t="inlineStr">
        <is>
          <t>2026-0410-015</t>
        </is>
      </c>
      <c r="C64" t="inlineStr">
        <is>
          <t>General Cyber</t>
        </is>
      </c>
      <c r="D64" t="inlineStr">
        <is>
          <t>Data Breach</t>
        </is>
      </c>
      <c r="E64" t="inlineStr">
        <is>
          <t>Adobe 13M Support Ticket &amp; Bug Bounty Data Breach</t>
        </is>
      </c>
      <c r="F64" t="inlineStr">
        <is>
          <t>Major breach exposed 13M Adobe customer support tickets, 15K employee records, internal docs, and bug bounty submissions. Bug bounty data exposure may reveal unpatched vulnerabilities.</t>
        </is>
      </c>
      <c r="G64" t="inlineStr">
        <is>
          <t>MEDIUM</t>
        </is>
      </c>
      <c r="H64" t="inlineStr">
        <is>
          <t>Unknown</t>
        </is>
      </c>
      <c r="I64" t="inlineStr">
        <is>
          <t>Application</t>
        </is>
      </c>
      <c r="J64" t="inlineStr">
        <is>
          <t>Delivery</t>
        </is>
      </c>
      <c r="K64" t="inlineStr">
        <is>
          <t>Privacy Risk</t>
        </is>
      </c>
      <c r="L64" t="inlineStr">
        <is>
          <t>Manage</t>
        </is>
      </c>
      <c r="M64" t="inlineStr">
        <is>
          <t>IR-4, IR-6, AC-3</t>
        </is>
      </c>
      <c r="N64" t="inlineStr">
        <is>
          <t>A.16.1</t>
        </is>
      </c>
      <c r="O64" t="inlineStr">
        <is>
          <t>IR-4</t>
        </is>
      </c>
      <c r="P64" t="inlineStr">
        <is>
          <t>SharkStriker / PKWARE</t>
        </is>
      </c>
      <c r="Q64" t="inlineStr">
        <is>
          <t>Monitor</t>
        </is>
      </c>
    </row>
    <row r="65">
      <c r="A65" t="inlineStr">
        <is>
          <t>2026-04-10</t>
        </is>
      </c>
      <c r="B65" t="inlineStr">
        <is>
          <t>2026-0410-016</t>
        </is>
      </c>
      <c r="C65" t="inlineStr">
        <is>
          <t>Research</t>
        </is>
      </c>
      <c r="D65" t="inlineStr">
        <is>
          <t>Red Teaming</t>
        </is>
      </c>
      <c r="E65" t="inlineStr">
        <is>
          <t>NIST AI Red Teaming Protocol Standardization for Health AI</t>
        </is>
      </c>
      <c r="F65" t="inlineStr">
        <is>
          <t>2026 peer-reviewed study proposes red-teaming protocol for patient-facing AI: error stratification, dual-pronged testing, vulnerability-informed mitigation. Maps to NIST AI RMF Measure function.</t>
        </is>
      </c>
      <c r="G65" t="inlineStr">
        <is>
          <t>INFO</t>
        </is>
      </c>
      <c r="H65" t="inlineStr">
        <is>
          <t>N/A</t>
        </is>
      </c>
      <c r="I65" t="inlineStr">
        <is>
          <t>N/A</t>
        </is>
      </c>
      <c r="J65" t="inlineStr">
        <is>
          <t>N/A</t>
        </is>
      </c>
      <c r="K65" t="inlineStr">
        <is>
          <t>N/A</t>
        </is>
      </c>
      <c r="L65" t="inlineStr">
        <is>
          <t>Measure</t>
        </is>
      </c>
      <c r="M65" t="inlineStr">
        <is>
          <t>CA-8, RA-5</t>
        </is>
      </c>
      <c r="N65" t="inlineStr">
        <is>
          <t>A.18.2</t>
        </is>
      </c>
      <c r="O65" t="inlineStr">
        <is>
          <t>CA-8</t>
        </is>
      </c>
      <c r="P65" t="inlineStr">
        <is>
          <t>Nature Scientific Reports</t>
        </is>
      </c>
      <c r="Q65" t="inlineStr">
        <is>
          <t>Monitor</t>
        </is>
      </c>
    </row>
    <row r="66">
      <c r="A66" t="inlineStr">
        <is>
          <t>2026-04-10</t>
        </is>
      </c>
      <c r="B66" t="inlineStr">
        <is>
          <t>2026-0410-017</t>
        </is>
      </c>
      <c r="C66" t="inlineStr">
        <is>
          <t>Research</t>
        </is>
      </c>
      <c r="D66" t="inlineStr">
        <is>
          <t>Framework Update</t>
        </is>
      </c>
      <c r="E66" t="inlineStr">
        <is>
          <t>OWASP GenAI Red Teaming Guide v2.0 &amp; LLM Security Guide Updates</t>
        </is>
      </c>
      <c r="F66" t="inlineStr">
        <is>
          <t>OWASP comprehensive LLM/GenAI vulnerability evaluation. LLMSecurityGuide catalogs red-teaming tools. Assessments auto-mapped to EU AI Act, NIST AI RMF, OWASP LLM Top 10, ISO 42001.</t>
        </is>
      </c>
      <c r="G66" t="inlineStr">
        <is>
          <t>INFO</t>
        </is>
      </c>
      <c r="H66" t="inlineStr">
        <is>
          <t>N/A</t>
        </is>
      </c>
      <c r="I66" t="inlineStr">
        <is>
          <t>N/A</t>
        </is>
      </c>
      <c r="J66" t="inlineStr">
        <is>
          <t>N/A</t>
        </is>
      </c>
      <c r="K66" t="inlineStr">
        <is>
          <t>N/A</t>
        </is>
      </c>
      <c r="L66" t="inlineStr">
        <is>
          <t>Govern</t>
        </is>
      </c>
      <c r="M66" t="inlineStr">
        <is>
          <t>CA-8, PL-2</t>
        </is>
      </c>
      <c r="N66" t="inlineStr">
        <is>
          <t>A.18.2</t>
        </is>
      </c>
      <c r="O66" t="inlineStr">
        <is>
          <t>CA-8</t>
        </is>
      </c>
      <c r="P66" t="inlineStr">
        <is>
          <t>OWASP / GitHub</t>
        </is>
      </c>
      <c r="Q66" t="inlineStr">
        <is>
          <t>Monitor</t>
        </is>
      </c>
    </row>
    <row r="67">
      <c r="A67" t="inlineStr">
        <is>
          <t>2026-04-13</t>
        </is>
      </c>
      <c r="B67" t="inlineStr">
        <is>
          <t>2026-0413-001</t>
        </is>
      </c>
      <c r="C67" t="inlineStr">
        <is>
          <t>AI/LLM Threat</t>
        </is>
      </c>
      <c r="D67" t="inlineStr">
        <is>
          <t>Protocol Vulnerability</t>
        </is>
      </c>
      <c r="E67" t="inlineStr">
        <is>
          <t>CVE-2026-23744 — MCPJam Inspector RCE (CVSS 9.8)</t>
        </is>
      </c>
      <c r="F67" t="inlineStr">
        <is>
          <t>Critical remote code execution vulnerability in MCPJam Inspector versions ≤1.4.2. Allows unauthenticated attackers to execute arbitrary code on MCP server hosts. 8,000+ MCP servers scanned on public internet showed significant number with exposed admin panels and debug endpoints without authentication.</t>
        </is>
      </c>
      <c r="G67" t="inlineStr">
        <is>
          <t>CRITICAL</t>
        </is>
      </c>
      <c r="H67" t="inlineStr">
        <is>
          <t>Unknown</t>
        </is>
      </c>
      <c r="I67" t="inlineStr">
        <is>
          <t>Toolchain</t>
        </is>
      </c>
      <c r="J67" t="inlineStr">
        <is>
          <t>Deployment</t>
        </is>
      </c>
      <c r="K67" t="inlineStr">
        <is>
          <t>Security Risk</t>
        </is>
      </c>
      <c r="L67" t="inlineStr">
        <is>
          <t>Manage</t>
        </is>
      </c>
      <c r="M67" t="inlineStr">
        <is>
          <t>SI-2, SI-7, AC-3, RA-5</t>
        </is>
      </c>
      <c r="N67" t="inlineStr">
        <is>
          <t>A.12.6</t>
        </is>
      </c>
      <c r="O67" t="inlineStr">
        <is>
          <t>SI-2</t>
        </is>
      </c>
      <c r="P67" t="inlineStr">
        <is>
          <t>WebSearch / Multiple</t>
        </is>
      </c>
      <c r="Q67" t="inlineStr">
        <is>
          <t>Escalate</t>
        </is>
      </c>
    </row>
    <row r="68">
      <c r="A68" t="inlineStr">
        <is>
          <t>2026-04-13</t>
        </is>
      </c>
      <c r="B68" t="inlineStr">
        <is>
          <t>2026-0413-002</t>
        </is>
      </c>
      <c r="C68" t="inlineStr">
        <is>
          <t>AI/LLM Threat</t>
        </is>
      </c>
      <c r="D68" t="inlineStr">
        <is>
          <t>Prompt Injection</t>
        </is>
      </c>
      <c r="E68" t="inlineStr">
        <is>
          <t>GitHub MCP Integration Agent Hijack via Malicious Issues</t>
        </is>
      </c>
      <c r="F68" t="inlineStr">
        <is>
          <t>Vulnerability in the widely-used GitHub MCP integration allows attackers to hijack user agents via malicious GitHub Issues. Hidden instructions embedded in issue text coerce agents into leaking data from private repositories. 85%+ attack success rate against current defenses.</t>
        </is>
      </c>
      <c r="G68" t="inlineStr">
        <is>
          <t>CRITICAL</t>
        </is>
      </c>
      <c r="H68" t="inlineStr">
        <is>
          <t>Multiple / Researchers</t>
        </is>
      </c>
      <c r="I68" t="inlineStr">
        <is>
          <t>Prompt</t>
        </is>
      </c>
      <c r="J68" t="inlineStr">
        <is>
          <t>All Stages</t>
        </is>
      </c>
      <c r="K68" t="inlineStr">
        <is>
          <t>Security Risk</t>
        </is>
      </c>
      <c r="L68" t="inlineStr">
        <is>
          <t>Measure</t>
        </is>
      </c>
      <c r="M68" t="inlineStr">
        <is>
          <t>SI-10, AC-3, SC-7, IR-4</t>
        </is>
      </c>
      <c r="N68" t="inlineStr">
        <is>
          <t>A.14.2.5</t>
        </is>
      </c>
      <c r="O68" t="inlineStr">
        <is>
          <t>SI-10</t>
        </is>
      </c>
      <c r="P68" t="inlineStr">
        <is>
          <t>WebSearch / Multiple</t>
        </is>
      </c>
      <c r="Q68" t="inlineStr">
        <is>
          <t>Escalate</t>
        </is>
      </c>
    </row>
    <row r="69">
      <c r="A69" t="inlineStr">
        <is>
          <t>2026-04-13</t>
        </is>
      </c>
      <c r="B69" t="inlineStr">
        <is>
          <t>2026-0413-003</t>
        </is>
      </c>
      <c r="C69" t="inlineStr">
        <is>
          <t>AI/LLM Threat</t>
        </is>
      </c>
      <c r="D69" t="inlineStr">
        <is>
          <t>Agentic AI Risk</t>
        </is>
      </c>
      <c r="E69" t="inlineStr">
        <is>
          <t>OWASP Top 10 for Agentic Applications 2026 — New Autonomous Risks</t>
        </is>
      </c>
      <c r="F69" t="inlineStr">
        <is>
          <t>OWASP publishes dedicated Top 10 for Agentic Applications identifying critical risks: goal misalignment, tool misuse, delegated trust failures, inter-agent communication exploits, persistent memory poisoning, and emergent autonomous behavior. 70% of enterprises using AI agents reported security incidents.</t>
        </is>
      </c>
      <c r="G69" t="inlineStr">
        <is>
          <t>HIGH</t>
        </is>
      </c>
      <c r="H69" t="inlineStr">
        <is>
          <t>N/A</t>
        </is>
      </c>
      <c r="I69" t="inlineStr">
        <is>
          <t>Platform</t>
        </is>
      </c>
      <c r="J69" t="inlineStr">
        <is>
          <t>Deployment</t>
        </is>
      </c>
      <c r="K69" t="inlineStr">
        <is>
          <t>Security Risk</t>
        </is>
      </c>
      <c r="L69" t="inlineStr">
        <is>
          <t>Govern</t>
        </is>
      </c>
      <c r="M69" t="inlineStr">
        <is>
          <t>PL-2, RA-5, AC-3, CA-8</t>
        </is>
      </c>
      <c r="N69" t="inlineStr">
        <is>
          <t>A.5.1</t>
        </is>
      </c>
      <c r="O69" t="inlineStr">
        <is>
          <t>PL-2</t>
        </is>
      </c>
      <c r="P69" t="inlineStr">
        <is>
          <t>WebSearch / Multiple</t>
        </is>
      </c>
      <c r="Q69" t="inlineStr">
        <is>
          <t>Monitor</t>
        </is>
      </c>
    </row>
    <row r="70">
      <c r="A70" t="inlineStr">
        <is>
          <t>2026-04-13</t>
        </is>
      </c>
      <c r="B70" t="inlineStr">
        <is>
          <t>2026-0413-004</t>
        </is>
      </c>
      <c r="C70" t="inlineStr">
        <is>
          <t>AI/LLM Threat</t>
        </is>
      </c>
      <c r="D70" t="inlineStr">
        <is>
          <t>AI Exploitation</t>
        </is>
      </c>
      <c r="E70" t="inlineStr">
        <is>
          <t>LLMjacking Campaign Escalation — Exposed Endpoint Hijacking at Scale</t>
        </is>
      </c>
      <c r="F70" t="inlineStr">
        <is>
          <t>Operation Bizarre Bazaar systematically scans and hijacks exposed LLM endpoints including self-hosted APIs, staging environments, and open chatbots. Cybercriminals sell access for AI-powered phishing, malware generation, and credential abuse. Enterprise shadow AI deployments are primary targets.</t>
        </is>
      </c>
      <c r="G70" t="inlineStr">
        <is>
          <t>HIGH</t>
        </is>
      </c>
      <c r="H70" t="inlineStr">
        <is>
          <t>Multiple Criminal Groups</t>
        </is>
      </c>
      <c r="I70" t="inlineStr">
        <is>
          <t>Platform</t>
        </is>
      </c>
      <c r="J70" t="inlineStr">
        <is>
          <t>Deployment</t>
        </is>
      </c>
      <c r="K70" t="inlineStr">
        <is>
          <t>Security Risk</t>
        </is>
      </c>
      <c r="L70" t="inlineStr">
        <is>
          <t>Manage</t>
        </is>
      </c>
      <c r="M70" t="inlineStr">
        <is>
          <t>AC-3, SC-7, SI-4, CM-8</t>
        </is>
      </c>
      <c r="N70" t="inlineStr">
        <is>
          <t>A.9.4</t>
        </is>
      </c>
      <c r="O70" t="inlineStr">
        <is>
          <t>AC-3</t>
        </is>
      </c>
      <c r="P70" t="inlineStr">
        <is>
          <t>WebSearch / Multiple</t>
        </is>
      </c>
      <c r="Q70" t="inlineStr">
        <is>
          <t>Investigate</t>
        </is>
      </c>
    </row>
    <row r="71">
      <c r="A71" t="inlineStr">
        <is>
          <t>2026-04-13</t>
        </is>
      </c>
      <c r="B71" t="inlineStr">
        <is>
          <t>2026-0413-005</t>
        </is>
      </c>
      <c r="C71" t="inlineStr">
        <is>
          <t>AI/LLM Threat</t>
        </is>
      </c>
      <c r="D71" t="inlineStr">
        <is>
          <t>Lethal Trifecta</t>
        </is>
      </c>
      <c r="E71" t="inlineStr">
        <is>
          <t>AI Agent 'Lethal Trifecta' — Privileged Access + Untrusted Input + Public Output</t>
        </is>
      </c>
      <c r="F71" t="inlineStr">
        <is>
          <t>Research identifies the 'lethal trifecta' pattern: agents with privileged access processing untrusted input and sharing data publicly enable complete system compromise. Each tool call is a security boundary attackers manipulate via prompt injection. 88% success rate of adaptive attacks.</t>
        </is>
      </c>
      <c r="G71" t="inlineStr">
        <is>
          <t>HIGH</t>
        </is>
      </c>
      <c r="H71" t="inlineStr">
        <is>
          <t>N/A — Research</t>
        </is>
      </c>
      <c r="I71" t="inlineStr">
        <is>
          <t>Prompt</t>
        </is>
      </c>
      <c r="J71" t="inlineStr">
        <is>
          <t>All Stages</t>
        </is>
      </c>
      <c r="K71" t="inlineStr">
        <is>
          <t>Security Risk</t>
        </is>
      </c>
      <c r="L71" t="inlineStr">
        <is>
          <t>Map</t>
        </is>
      </c>
      <c r="M71" t="inlineStr">
        <is>
          <t>AC-3, SC-7, SI-10, SA-8</t>
        </is>
      </c>
      <c r="N71" t="inlineStr">
        <is>
          <t>A.14.2.5</t>
        </is>
      </c>
      <c r="O71" t="inlineStr">
        <is>
          <t>AC-3</t>
        </is>
      </c>
      <c r="P71" t="inlineStr">
        <is>
          <t>WebSearch / Multiple</t>
        </is>
      </c>
      <c r="Q71" t="inlineStr">
        <is>
          <t>Monitor</t>
        </is>
      </c>
    </row>
    <row r="72">
      <c r="A72" t="inlineStr">
        <is>
          <t>2026-04-13</t>
        </is>
      </c>
      <c r="B72" t="inlineStr">
        <is>
          <t>2026-0413-006</t>
        </is>
      </c>
      <c r="C72" t="inlineStr">
        <is>
          <t>AI/LLM Threat</t>
        </is>
      </c>
      <c r="D72" t="inlineStr">
        <is>
          <t>Shadow AI</t>
        </is>
      </c>
      <c r="E72" t="inlineStr">
        <is>
          <t>Shadow AI Now #1 Enterprise Data Leakage Vector in 2026</t>
        </is>
      </c>
      <c r="F72" t="inlineStr">
        <is>
          <t>Shadow AI (unsanctioned AI tools) confirmed as the most common entry point for enterprise data leakage. Only 34% of organizations have AI-specific security controls. RAG poisoning, memory-based persistent attacks compound the risk.</t>
        </is>
      </c>
      <c r="G72" t="inlineStr">
        <is>
          <t>MEDIUM</t>
        </is>
      </c>
      <c r="H72" t="inlineStr">
        <is>
          <t>N/A</t>
        </is>
      </c>
      <c r="I72" t="inlineStr">
        <is>
          <t>Data</t>
        </is>
      </c>
      <c r="J72" t="inlineStr">
        <is>
          <t>All Stages</t>
        </is>
      </c>
      <c r="K72" t="inlineStr">
        <is>
          <t>Privacy Risk</t>
        </is>
      </c>
      <c r="L72" t="inlineStr">
        <is>
          <t>Govern</t>
        </is>
      </c>
      <c r="M72" t="inlineStr">
        <is>
          <t>CM-8, AC-3, PM-5, SI-4</t>
        </is>
      </c>
      <c r="N72" t="inlineStr">
        <is>
          <t>A.8.1</t>
        </is>
      </c>
      <c r="O72" t="inlineStr">
        <is>
          <t>CM-8</t>
        </is>
      </c>
      <c r="P72" t="inlineStr">
        <is>
          <t>WebSearch / Multiple</t>
        </is>
      </c>
      <c r="Q72" t="inlineStr">
        <is>
          <t>Monitor</t>
        </is>
      </c>
    </row>
    <row r="73">
      <c r="A73" t="inlineStr">
        <is>
          <t>2026-04-13</t>
        </is>
      </c>
      <c r="B73" t="inlineStr">
        <is>
          <t>2026-0413-007</t>
        </is>
      </c>
      <c r="C73" t="inlineStr">
        <is>
          <t>Supply Chain</t>
        </is>
      </c>
      <c r="D73" t="inlineStr">
        <is>
          <t>Cascading Attack</t>
        </is>
      </c>
      <c r="E73" t="inlineStr">
        <is>
          <t>TeamPCP / Lapsus$ Supply Chain Wave — Hundreds of Thousands of Stolen Secrets</t>
        </is>
      </c>
      <c r="F73" t="inlineStr">
        <is>
          <t>Google researchers warn hundreds of thousands of stolen secrets circulating from Axios npm, Trivy, KICS, LiteLLM, and Telnyx supply chain attacks. Stolen credentials enabling SaaS compromises, downstream customer breaches, ransomware, and cryptocurrency theft. TeamPCP-Lapsus$ connection documented via Telegram.</t>
        </is>
      </c>
      <c r="G73" t="inlineStr">
        <is>
          <t>CRITICAL</t>
        </is>
      </c>
      <c r="H73" t="inlineStr">
        <is>
          <t>TeamPCP / Lapsus$</t>
        </is>
      </c>
      <c r="I73" t="inlineStr">
        <is>
          <t>Third-party Libraries</t>
        </is>
      </c>
      <c r="J73" t="inlineStr">
        <is>
          <t>Distribution</t>
        </is>
      </c>
      <c r="K73" t="inlineStr">
        <is>
          <t>Security Risk</t>
        </is>
      </c>
      <c r="L73" t="inlineStr">
        <is>
          <t>Map</t>
        </is>
      </c>
      <c r="M73" t="inlineStr">
        <is>
          <t>SA-12, SR-3, SI-7, IR-4</t>
        </is>
      </c>
      <c r="N73" t="inlineStr">
        <is>
          <t>A.14.2.7</t>
        </is>
      </c>
      <c r="O73" t="inlineStr">
        <is>
          <t>SA-12</t>
        </is>
      </c>
      <c r="P73" t="inlineStr">
        <is>
          <t>WebSearch / Multiple</t>
        </is>
      </c>
      <c r="Q73" t="inlineStr">
        <is>
          <t>Escalate</t>
        </is>
      </c>
    </row>
    <row r="74">
      <c r="A74" t="inlineStr">
        <is>
          <t>2026-04-13</t>
        </is>
      </c>
      <c r="B74" t="inlineStr">
        <is>
          <t>2026-0413-008</t>
        </is>
      </c>
      <c r="C74" t="inlineStr">
        <is>
          <t>Supply Chain</t>
        </is>
      </c>
      <c r="D74" t="inlineStr">
        <is>
          <t>OSS Malware Surge</t>
        </is>
      </c>
      <c r="E74" t="inlineStr">
        <is>
          <t>Open Source Malware Up 73% — AI Development Pipelines Targeted</t>
        </is>
      </c>
      <c r="F74" t="inlineStr">
        <is>
          <t>ReversingLabs 4th Annual SSCS Report: malware on open-source platforms up 73%. Attacks specifically target developer tooling and AI development pipelines. Supply chain attacks doubled, global losses $60B. 70%+ organizations experienced supply chain incidents.</t>
        </is>
      </c>
      <c r="G74" t="inlineStr">
        <is>
          <t>HIGH</t>
        </is>
      </c>
      <c r="H74" t="inlineStr">
        <is>
          <t>Multiple</t>
        </is>
      </c>
      <c r="I74" t="inlineStr">
        <is>
          <t>Code</t>
        </is>
      </c>
      <c r="J74" t="inlineStr">
        <is>
          <t>Distribution</t>
        </is>
      </c>
      <c r="K74" t="inlineStr">
        <is>
          <t>Security Risk</t>
        </is>
      </c>
      <c r="L74" t="inlineStr">
        <is>
          <t>Map</t>
        </is>
      </c>
      <c r="M74" t="inlineStr">
        <is>
          <t>SA-12, SR-3, SR-6, CM-3</t>
        </is>
      </c>
      <c r="N74" t="inlineStr">
        <is>
          <t>A.14.2.7</t>
        </is>
      </c>
      <c r="O74" t="inlineStr">
        <is>
          <t>SA-12</t>
        </is>
      </c>
      <c r="P74" t="inlineStr">
        <is>
          <t>WebSearch / Multiple</t>
        </is>
      </c>
      <c r="Q74" t="inlineStr">
        <is>
          <t>Monitor</t>
        </is>
      </c>
    </row>
    <row r="75">
      <c r="A75" t="inlineStr">
        <is>
          <t>2026-04-13</t>
        </is>
      </c>
      <c r="B75" t="inlineStr">
        <is>
          <t>2026-0413-009</t>
        </is>
      </c>
      <c r="C75" t="inlineStr">
        <is>
          <t>Supply Chain</t>
        </is>
      </c>
      <c r="D75" t="inlineStr">
        <is>
          <t>EU Breach Fallout</t>
        </is>
      </c>
      <c r="E75" t="inlineStr">
        <is>
          <t>European Commission Trivy Breach — CERT-EU Confirms Initial Access Vector</t>
        </is>
      </c>
      <c r="F75" t="inlineStr">
        <is>
          <t>CERT-EU confirms the initial access vector in the European Commission cloud breach was the Trivy supply-chain compromise (CVE-2026-33634). 300GB exfiltrated from AWS. Security tool compromises create trusted-path attacks.</t>
        </is>
      </c>
      <c r="G75" t="inlineStr">
        <is>
          <t>CRITICAL</t>
        </is>
      </c>
      <c r="H75" t="inlineStr">
        <is>
          <t>TeamPCP</t>
        </is>
      </c>
      <c r="I75" t="inlineStr">
        <is>
          <t>Code</t>
        </is>
      </c>
      <c r="J75" t="inlineStr">
        <is>
          <t>Distribution</t>
        </is>
      </c>
      <c r="K75" t="inlineStr">
        <is>
          <t>Security Risk</t>
        </is>
      </c>
      <c r="L75" t="inlineStr">
        <is>
          <t>Manage</t>
        </is>
      </c>
      <c r="M75" t="inlineStr">
        <is>
          <t>SA-12, IR-4, IR-6, SC-7</t>
        </is>
      </c>
      <c r="N75" t="inlineStr">
        <is>
          <t>A.14.2.7</t>
        </is>
      </c>
      <c r="O75" t="inlineStr">
        <is>
          <t>SA-12</t>
        </is>
      </c>
      <c r="P75" t="inlineStr">
        <is>
          <t>WebSearch / Multiple</t>
        </is>
      </c>
      <c r="Q75" t="inlineStr">
        <is>
          <t>Escalate</t>
        </is>
      </c>
    </row>
    <row r="76">
      <c r="A76" t="inlineStr">
        <is>
          <t>2026-04-13</t>
        </is>
      </c>
      <c r="B76" t="inlineStr">
        <is>
          <t>2026-0413-010</t>
        </is>
      </c>
      <c r="C76" t="inlineStr">
        <is>
          <t>Cloud Security</t>
        </is>
      </c>
      <c r="D76" t="inlineStr">
        <is>
          <t>Cryptocurrency Theft</t>
        </is>
      </c>
      <c r="E76" t="inlineStr">
        <is>
          <t>Drift Protocol $285M Heist — DPRK Social Engineering Campaign</t>
        </is>
      </c>
      <c r="F76" t="inlineStr">
        <is>
          <t>April 1 attack on Solana-based DEX Drift led to $285M theft. Months-long targeted social engineering by DPRK state-sponsored group UNC4736. Demonstrates convergence of social engineering and crypto infrastructure exploitation at nation-state level.</t>
        </is>
      </c>
      <c r="G76" t="inlineStr">
        <is>
          <t>CRITICAL</t>
        </is>
      </c>
      <c r="H76" t="inlineStr">
        <is>
          <t>UNC4736 / DPRK</t>
        </is>
      </c>
      <c r="I76" t="inlineStr">
        <is>
          <t>Platform</t>
        </is>
      </c>
      <c r="J76" t="inlineStr">
        <is>
          <t>Delivery</t>
        </is>
      </c>
      <c r="K76" t="inlineStr">
        <is>
          <t>Security Risk</t>
        </is>
      </c>
      <c r="L76" t="inlineStr">
        <is>
          <t>Manage</t>
        </is>
      </c>
      <c r="M76" t="inlineStr">
        <is>
          <t>IR-4, SC-7, AC-3, AT-2</t>
        </is>
      </c>
      <c r="N76" t="inlineStr">
        <is>
          <t>A.16.1</t>
        </is>
      </c>
      <c r="O76" t="inlineStr">
        <is>
          <t>IR-4</t>
        </is>
      </c>
      <c r="P76" t="inlineStr">
        <is>
          <t>WebSearch / Multiple</t>
        </is>
      </c>
      <c r="Q76" t="inlineStr">
        <is>
          <t>Monitor</t>
        </is>
      </c>
    </row>
    <row r="77">
      <c r="A77" t="inlineStr">
        <is>
          <t>2026-04-13</t>
        </is>
      </c>
      <c r="B77" t="inlineStr">
        <is>
          <t>2026-0413-011</t>
        </is>
      </c>
      <c r="C77" t="inlineStr">
        <is>
          <t>Cloud Security</t>
        </is>
      </c>
      <c r="D77" t="inlineStr">
        <is>
          <t>Software Distribution</t>
        </is>
      </c>
      <c r="E77" t="inlineStr">
        <is>
          <t>CPUID Website Compromise — CPU-Z &amp; HWMonitor Download Hijack</t>
        </is>
      </c>
      <c r="F77" t="inlineStr">
        <is>
          <t>CPUID website compromised Apr 9-10 with download URLs for CPU-Z and HWMonitor replaced with malicious links serving trojanized installers. Attack lasted ~19 hours before detection.</t>
        </is>
      </c>
      <c r="G77" t="inlineStr">
        <is>
          <t>HIGH</t>
        </is>
      </c>
      <c r="H77" t="inlineStr">
        <is>
          <t>Unknown</t>
        </is>
      </c>
      <c r="I77" t="inlineStr">
        <is>
          <t>Application</t>
        </is>
      </c>
      <c r="J77" t="inlineStr">
        <is>
          <t>Distribution</t>
        </is>
      </c>
      <c r="K77" t="inlineStr">
        <is>
          <t>Security Risk</t>
        </is>
      </c>
      <c r="L77" t="inlineStr">
        <is>
          <t>Manage</t>
        </is>
      </c>
      <c r="M77" t="inlineStr">
        <is>
          <t>SI-7, SC-7, CM-3, IR-4</t>
        </is>
      </c>
      <c r="N77" t="inlineStr">
        <is>
          <t>A.14.2.7</t>
        </is>
      </c>
      <c r="O77" t="inlineStr">
        <is>
          <t>SI-7</t>
        </is>
      </c>
      <c r="P77" t="inlineStr">
        <is>
          <t>WebSearch / Multiple</t>
        </is>
      </c>
      <c r="Q77" t="inlineStr">
        <is>
          <t>Monitor</t>
        </is>
      </c>
    </row>
    <row r="78">
      <c r="A78" t="inlineStr">
        <is>
          <t>2026-04-13</t>
        </is>
      </c>
      <c r="B78" t="inlineStr">
        <is>
          <t>2026-0413-012</t>
        </is>
      </c>
      <c r="C78" t="inlineStr">
        <is>
          <t>Cloud Security</t>
        </is>
      </c>
      <c r="D78" t="inlineStr">
        <is>
          <t>Healthcare Breach</t>
        </is>
      </c>
      <c r="E78" t="inlineStr">
        <is>
          <t>Gritman Medical Ransomware — Multi-Clinic Outage Across Idaho</t>
        </is>
      </c>
      <c r="F78" t="inlineStr">
        <is>
          <t>Gritman Medical Center targeted by ransomware causing massive outage across clinics in multiple Idaho locations. Several offices forced to close. Fourth major healthcare ransomware incident in April 2026.</t>
        </is>
      </c>
      <c r="G78" t="inlineStr">
        <is>
          <t>HIGH</t>
        </is>
      </c>
      <c r="H78" t="inlineStr">
        <is>
          <t>Unknown</t>
        </is>
      </c>
      <c r="I78" t="inlineStr">
        <is>
          <t>Application</t>
        </is>
      </c>
      <c r="J78" t="inlineStr">
        <is>
          <t>Delivery</t>
        </is>
      </c>
      <c r="K78" t="inlineStr">
        <is>
          <t>Security Risk</t>
        </is>
      </c>
      <c r="L78" t="inlineStr">
        <is>
          <t>Manage</t>
        </is>
      </c>
      <c r="M78" t="inlineStr">
        <is>
          <t>IR-4, CP-9, CP-10, AU-6</t>
        </is>
      </c>
      <c r="N78" t="inlineStr">
        <is>
          <t>A.16.1</t>
        </is>
      </c>
      <c r="O78" t="inlineStr">
        <is>
          <t>IR-4</t>
        </is>
      </c>
      <c r="P78" t="inlineStr">
        <is>
          <t>WebSearch / Multiple</t>
        </is>
      </c>
      <c r="Q78" t="inlineStr">
        <is>
          <t>Monitor</t>
        </is>
      </c>
    </row>
    <row r="79">
      <c r="A79" t="inlineStr">
        <is>
          <t>2026-04-13</t>
        </is>
      </c>
      <c r="B79" t="inlineStr">
        <is>
          <t>2026-0413-013</t>
        </is>
      </c>
      <c r="C79" t="inlineStr">
        <is>
          <t>General Cyber</t>
        </is>
      </c>
      <c r="D79" t="inlineStr">
        <is>
          <t>Ransomware</t>
        </is>
      </c>
      <c r="E79" t="inlineStr">
        <is>
          <t>Hasbro IT Systems Breached — Data Stolen, Operations Disrupted</t>
        </is>
      </c>
      <c r="F79" t="inlineStr">
        <is>
          <t>Toymaker Hasbro confirmed IT systems breached with data stolen and operations disrupted. Full recovery expected to take weeks. Demonstrates continued targeting of large consumer brands.</t>
        </is>
      </c>
      <c r="G79" t="inlineStr">
        <is>
          <t>HIGH</t>
        </is>
      </c>
      <c r="H79" t="inlineStr">
        <is>
          <t>Unknown</t>
        </is>
      </c>
      <c r="I79" t="inlineStr">
        <is>
          <t>Application</t>
        </is>
      </c>
      <c r="J79" t="inlineStr">
        <is>
          <t>Delivery</t>
        </is>
      </c>
      <c r="K79" t="inlineStr">
        <is>
          <t>Privacy Risk</t>
        </is>
      </c>
      <c r="L79" t="inlineStr">
        <is>
          <t>Manage</t>
        </is>
      </c>
      <c r="M79" t="inlineStr">
        <is>
          <t>IR-4, IR-6, CP-10, AC-3</t>
        </is>
      </c>
      <c r="N79" t="inlineStr">
        <is>
          <t>A.16.1</t>
        </is>
      </c>
      <c r="O79" t="inlineStr">
        <is>
          <t>IR-4</t>
        </is>
      </c>
      <c r="P79" t="inlineStr">
        <is>
          <t>WebSearch / Multiple</t>
        </is>
      </c>
      <c r="Q79" t="inlineStr">
        <is>
          <t>Monitor</t>
        </is>
      </c>
    </row>
    <row r="80">
      <c r="A80" t="inlineStr">
        <is>
          <t>2026-04-13</t>
        </is>
      </c>
      <c r="B80" t="inlineStr">
        <is>
          <t>2026-0413-014</t>
        </is>
      </c>
      <c r="C80" t="inlineStr">
        <is>
          <t>General Cyber</t>
        </is>
      </c>
      <c r="D80" t="inlineStr">
        <is>
          <t>Ransomware Trend</t>
        </is>
      </c>
      <c r="E80" t="inlineStr">
        <is>
          <t>Handala Ransomware Group Surge — 23+ Victims, Multi-Sector Acceleration</t>
        </is>
      </c>
      <c r="F80" t="inlineStr">
        <is>
          <t>Handala claimed 23 victims in March spanning healthcare, education, research, financial services, utilities. April acceleration continuing. Combined with Qilin (1,800+ cumulative) and DragonForce RaaS expansion.</t>
        </is>
      </c>
      <c r="G80" t="inlineStr">
        <is>
          <t>HIGH</t>
        </is>
      </c>
      <c r="H80" t="inlineStr">
        <is>
          <t>Handala / Qilin / DragonForce</t>
        </is>
      </c>
      <c r="I80" t="inlineStr">
        <is>
          <t>Application</t>
        </is>
      </c>
      <c r="J80" t="inlineStr">
        <is>
          <t>Delivery</t>
        </is>
      </c>
      <c r="K80" t="inlineStr">
        <is>
          <t>Security Risk</t>
        </is>
      </c>
      <c r="L80" t="inlineStr">
        <is>
          <t>Manage</t>
        </is>
      </c>
      <c r="M80" t="inlineStr">
        <is>
          <t>IR-4, CP-9, CP-10, SI-4</t>
        </is>
      </c>
      <c r="N80" t="inlineStr">
        <is>
          <t>A.16.1</t>
        </is>
      </c>
      <c r="O80" t="inlineStr">
        <is>
          <t>IR-4</t>
        </is>
      </c>
      <c r="P80" t="inlineStr">
        <is>
          <t>WebSearch / Multiple</t>
        </is>
      </c>
      <c r="Q80" t="inlineStr">
        <is>
          <t>Monitor</t>
        </is>
      </c>
    </row>
    <row r="81">
      <c r="A81" t="inlineStr">
        <is>
          <t>2026-04-13</t>
        </is>
      </c>
      <c r="B81" t="inlineStr">
        <is>
          <t>2026-0413-015</t>
        </is>
      </c>
      <c r="C81" t="inlineStr">
        <is>
          <t>General Cyber</t>
        </is>
      </c>
      <c r="D81" t="inlineStr">
        <is>
          <t>Data Breach</t>
        </is>
      </c>
      <c r="E81" t="inlineStr">
        <is>
          <t>Hong Kong Hospital Authority Patient Data Leak on Third-Party Platform</t>
        </is>
      </c>
      <c r="F81" t="inlineStr">
        <is>
          <t>HK Hospital Authority detected unauthorized access to patient data and leak on third-party platform. Third healthcare data incident in past two weeks globally, indicating systematic targeting of health data.</t>
        </is>
      </c>
      <c r="G81" t="inlineStr">
        <is>
          <t>MEDIUM</t>
        </is>
      </c>
      <c r="H81" t="inlineStr">
        <is>
          <t>Unknown</t>
        </is>
      </c>
      <c r="I81" t="inlineStr">
        <is>
          <t>Data</t>
        </is>
      </c>
      <c r="J81" t="inlineStr">
        <is>
          <t>Delivery</t>
        </is>
      </c>
      <c r="K81" t="inlineStr">
        <is>
          <t>Privacy Risk</t>
        </is>
      </c>
      <c r="L81" t="inlineStr">
        <is>
          <t>Manage</t>
        </is>
      </c>
      <c r="M81" t="inlineStr">
        <is>
          <t>IR-4, IR-6, AC-3, AU-6</t>
        </is>
      </c>
      <c r="N81" t="inlineStr">
        <is>
          <t>A.16.1</t>
        </is>
      </c>
      <c r="O81" t="inlineStr">
        <is>
          <t>IR-4</t>
        </is>
      </c>
      <c r="P81" t="inlineStr">
        <is>
          <t>WebSearch / Multiple</t>
        </is>
      </c>
      <c r="Q81" t="inlineStr">
        <is>
          <t>Monitor</t>
        </is>
      </c>
    </row>
    <row r="82">
      <c r="A82" t="inlineStr">
        <is>
          <t>2026-04-13</t>
        </is>
      </c>
      <c r="B82" t="inlineStr">
        <is>
          <t>2026-0413-016</t>
        </is>
      </c>
      <c r="C82" t="inlineStr">
        <is>
          <t>Research</t>
        </is>
      </c>
      <c r="D82" t="inlineStr">
        <is>
          <t>Red Teaming</t>
        </is>
      </c>
      <c r="E82" t="inlineStr">
        <is>
          <t>AI Security Solutions Landscape Q2 2026 — OWASP GenAI Project</t>
        </is>
      </c>
      <c r="F82" t="inlineStr">
        <is>
          <t>OWASP GenAI Security Project publishes Q2 2026 AI Security Solutions Landscape for AI and Agentic Red Teaming. Continuous testing mandated on every deployment change. Solutions mapped to EU AI Act, NIST AI RMF, ISO 42001.</t>
        </is>
      </c>
      <c r="G82" t="inlineStr">
        <is>
          <t>INFO</t>
        </is>
      </c>
      <c r="H82" t="inlineStr">
        <is>
          <t>N/A</t>
        </is>
      </c>
      <c r="I82" t="inlineStr">
        <is>
          <t>N/A</t>
        </is>
      </c>
      <c r="J82" t="inlineStr">
        <is>
          <t>N/A</t>
        </is>
      </c>
      <c r="K82" t="inlineStr">
        <is>
          <t>N/A</t>
        </is>
      </c>
      <c r="L82" t="inlineStr">
        <is>
          <t>Govern</t>
        </is>
      </c>
      <c r="M82" t="inlineStr">
        <is>
          <t>CA-8, RA-5, PL-2</t>
        </is>
      </c>
      <c r="N82" t="inlineStr">
        <is>
          <t>A.18.2</t>
        </is>
      </c>
      <c r="O82" t="inlineStr">
        <is>
          <t>CA-8</t>
        </is>
      </c>
      <c r="P82" t="inlineStr">
        <is>
          <t>WebSearch / Multiple</t>
        </is>
      </c>
      <c r="Q82" t="inlineStr">
        <is>
          <t>Monitor</t>
        </is>
      </c>
    </row>
    <row r="83">
      <c r="A83" t="inlineStr">
        <is>
          <t>2026-04-13</t>
        </is>
      </c>
      <c r="B83" t="inlineStr">
        <is>
          <t>2026-0413-017</t>
        </is>
      </c>
      <c r="C83" t="inlineStr">
        <is>
          <t>Research</t>
        </is>
      </c>
      <c r="D83" t="inlineStr">
        <is>
          <t>Academic Paper</t>
        </is>
      </c>
      <c r="E83" t="inlineStr">
        <is>
          <t>Prompt Injection in Agentic Coding Assistants — Systematic Vulnerability Analysis (arXiv)</t>
        </is>
      </c>
      <c r="F83" t="inlineStr">
        <is>
          <t>New arXiv paper (2601.17548) provides systematic analysis of prompt injection vulnerabilities in skills, tools, and protocol ecosystems. Identifies attack vectors across MCP sampling, tool selection manipulation, and parameter injection.</t>
        </is>
      </c>
      <c r="G83" t="inlineStr">
        <is>
          <t>INFO</t>
        </is>
      </c>
      <c r="H83" t="inlineStr">
        <is>
          <t>N/A</t>
        </is>
      </c>
      <c r="I83" t="inlineStr">
        <is>
          <t>N/A</t>
        </is>
      </c>
      <c r="J83" t="inlineStr">
        <is>
          <t>N/A</t>
        </is>
      </c>
      <c r="K83" t="inlineStr">
        <is>
          <t>N/A</t>
        </is>
      </c>
      <c r="L83" t="inlineStr">
        <is>
          <t>Measure</t>
        </is>
      </c>
      <c r="M83" t="inlineStr">
        <is>
          <t>CA-8, SA-11, SI-10</t>
        </is>
      </c>
      <c r="N83" t="inlineStr">
        <is>
          <t>A.18.2</t>
        </is>
      </c>
      <c r="O83" t="inlineStr">
        <is>
          <t>CA-8</t>
        </is>
      </c>
      <c r="P83" t="inlineStr">
        <is>
          <t>WebSearch / Multiple</t>
        </is>
      </c>
      <c r="Q83" t="inlineStr">
        <is>
          <t>Monitor</t>
        </is>
      </c>
    </row>
    <row r="84">
      <c r="A84" t="inlineStr">
        <is>
          <t>2026-04-14</t>
        </is>
      </c>
      <c r="B84" t="inlineStr">
        <is>
          <t>2026-0414-001</t>
        </is>
      </c>
      <c r="C84" t="inlineStr">
        <is>
          <t>AI/LLM Threat</t>
        </is>
      </c>
      <c r="D84" t="inlineStr">
        <is>
          <t>Covert Channel</t>
        </is>
      </c>
      <c r="E84" t="inlineStr">
        <is>
          <t>DNS Tunneling Channel Discovered in ChatGPT Code Sandbox — Covert Data Exfiltration</t>
        </is>
      </c>
      <c r="F84" t="inlineStr">
        <is>
          <t>Researchers discovered a hidden DNS tunneling channel in ChatGPT's code execution sandbox. Domain name resolution weaponized as covert transport for silently exfiltrating sensitive user data to external servers.</t>
        </is>
      </c>
      <c r="G84" t="inlineStr">
        <is>
          <t>CRITICAL</t>
        </is>
      </c>
      <c r="H84" t="inlineStr">
        <is>
          <t>Security Researchers</t>
        </is>
      </c>
      <c r="I84" t="inlineStr">
        <is>
          <t>Platform</t>
        </is>
      </c>
      <c r="J84" t="inlineStr">
        <is>
          <t>Deployment</t>
        </is>
      </c>
      <c r="K84" t="inlineStr">
        <is>
          <t>Security Risk</t>
        </is>
      </c>
      <c r="L84" t="inlineStr">
        <is>
          <t>Measure</t>
        </is>
      </c>
      <c r="M84" t="inlineStr">
        <is>
          <t>SC-7 SI-4 AC-3 AU-12</t>
        </is>
      </c>
      <c r="N84" t="inlineStr">
        <is>
          <t>A.13.1</t>
        </is>
      </c>
      <c r="O84" t="inlineStr">
        <is>
          <t>SC-7</t>
        </is>
      </c>
      <c r="P84" t="inlineStr">
        <is>
          <t>April 14 Daily Briefing</t>
        </is>
      </c>
      <c r="Q84" t="inlineStr">
        <is>
          <t>Escalate</t>
        </is>
      </c>
    </row>
    <row r="85">
      <c r="A85" t="inlineStr">
        <is>
          <t>2026-04-14</t>
        </is>
      </c>
      <c r="B85" t="inlineStr">
        <is>
          <t>2026-0414-002</t>
        </is>
      </c>
      <c r="C85" t="inlineStr">
        <is>
          <t>AI/LLM Threat</t>
        </is>
      </c>
      <c r="D85" t="inlineStr">
        <is>
          <t>Memory Poisoning</t>
        </is>
      </c>
      <c r="E85" t="inlineStr">
        <is>
          <t>Memory Poisoning in LLM Agents — 90%+ Attack Success Against GPT-5 mini &amp; Claude Sonnet 4.5</t>
        </is>
      </c>
      <c r="F85" t="inlineStr">
        <is>
          <t>Researchers demonstrated poisoned memory entries in LLM agent long-term storage persistently hijack workflows with 90%+ success rates against GPT-5 mini and Claude Sonnet 4.5. Poisoned memories persist across sessions.</t>
        </is>
      </c>
      <c r="G85" t="inlineStr">
        <is>
          <t>CRITICAL</t>
        </is>
      </c>
      <c r="H85" t="inlineStr">
        <is>
          <t>N/A — Research</t>
        </is>
      </c>
      <c r="I85" t="inlineStr">
        <is>
          <t>Data</t>
        </is>
      </c>
      <c r="J85" t="inlineStr">
        <is>
          <t>All Stages</t>
        </is>
      </c>
      <c r="K85" t="inlineStr">
        <is>
          <t>Security Risk</t>
        </is>
      </c>
      <c r="L85" t="inlineStr">
        <is>
          <t>Measure</t>
        </is>
      </c>
      <c r="M85" t="inlineStr">
        <is>
          <t>SI-7 SI-10 AC-3 IR-4</t>
        </is>
      </c>
      <c r="N85" t="inlineStr">
        <is>
          <t>A.14.1.2</t>
        </is>
      </c>
      <c r="O85" t="inlineStr">
        <is>
          <t>SI-7</t>
        </is>
      </c>
      <c r="P85" t="inlineStr">
        <is>
          <t>April 14 Daily Briefing</t>
        </is>
      </c>
      <c r="Q85" t="inlineStr">
        <is>
          <t>Escalate</t>
        </is>
      </c>
    </row>
    <row r="86">
      <c r="A86" t="inlineStr">
        <is>
          <t>2026-04-14</t>
        </is>
      </c>
      <c r="B86" t="inlineStr">
        <is>
          <t>2026-0414-003</t>
        </is>
      </c>
      <c r="C86" t="inlineStr">
        <is>
          <t>AI/LLM Threat</t>
        </is>
      </c>
      <c r="D86" t="inlineStr">
        <is>
          <t>Emergent AI Risk</t>
        </is>
      </c>
      <c r="E86" t="inlineStr">
        <is>
          <t>Anthropic Mythos Preview Restricted After Autonomous Zero-Day Discovery Across Major Systems</t>
        </is>
      </c>
      <c r="F86" t="inlineStr">
        <is>
          <t>Anthropic restricted Claude Mythos Preview model after it autonomously found and exploited zero-day vulnerabilities in every major OS and browser. Demonstrates emergent capability risks in frontier AI models.</t>
        </is>
      </c>
      <c r="G86" t="inlineStr">
        <is>
          <t>HIGH</t>
        </is>
      </c>
      <c r="H86" t="inlineStr">
        <is>
          <t>N/A — AI Model</t>
        </is>
      </c>
      <c r="I86" t="inlineStr">
        <is>
          <t>Platform</t>
        </is>
      </c>
      <c r="J86" t="inlineStr">
        <is>
          <t>Deployment</t>
        </is>
      </c>
      <c r="K86" t="inlineStr">
        <is>
          <t>Security Risk</t>
        </is>
      </c>
      <c r="L86" t="inlineStr">
        <is>
          <t>Govern</t>
        </is>
      </c>
      <c r="M86" t="inlineStr">
        <is>
          <t>PL-2 RA-5 CA-8 SA-11</t>
        </is>
      </c>
      <c r="N86" t="inlineStr">
        <is>
          <t>A.5.1</t>
        </is>
      </c>
      <c r="O86" t="inlineStr">
        <is>
          <t>PL-2</t>
        </is>
      </c>
      <c r="P86" t="inlineStr">
        <is>
          <t>April 14 Daily Briefing</t>
        </is>
      </c>
      <c r="Q86" t="inlineStr">
        <is>
          <t>Monitor</t>
        </is>
      </c>
    </row>
    <row r="87">
      <c r="A87" t="inlineStr">
        <is>
          <t>2026-04-14</t>
        </is>
      </c>
      <c r="B87" t="inlineStr">
        <is>
          <t>2026-0414-004</t>
        </is>
      </c>
      <c r="C87" t="inlineStr">
        <is>
          <t>AI/LLM Threat</t>
        </is>
      </c>
      <c r="D87" t="inlineStr">
        <is>
          <t>MCP Vulnerability</t>
        </is>
      </c>
      <c r="E87" t="inlineStr">
        <is>
          <t>MCP Cross-Client Data Leak CVE-2026-25536 — StreamableHTTP Transport Boundary Failure</t>
        </is>
      </c>
      <c r="F87" t="inlineStr">
        <is>
          <t>CVE-2026-25536: When single McpServer with StreamableHTTPServerTransport is reused across multiple clients, responses leak across client boundaries. Exposes sensitive data between users sharing MCP server infrastructure.</t>
        </is>
      </c>
      <c r="G87" t="inlineStr">
        <is>
          <t>HIGH</t>
        </is>
      </c>
      <c r="H87" t="inlineStr">
        <is>
          <t>N/A</t>
        </is>
      </c>
      <c r="I87" t="inlineStr">
        <is>
          <t>Toolchain</t>
        </is>
      </c>
      <c r="J87" t="inlineStr">
        <is>
          <t>Deployment</t>
        </is>
      </c>
      <c r="K87" t="inlineStr">
        <is>
          <t>Privacy Risk</t>
        </is>
      </c>
      <c r="L87" t="inlineStr">
        <is>
          <t>Map</t>
        </is>
      </c>
      <c r="M87" t="inlineStr">
        <is>
          <t>SC-7 AC-3 SI-7 SC-4</t>
        </is>
      </c>
      <c r="N87" t="inlineStr">
        <is>
          <t>A.14.2.5</t>
        </is>
      </c>
      <c r="O87" t="inlineStr">
        <is>
          <t>SC-7</t>
        </is>
      </c>
      <c r="P87" t="inlineStr">
        <is>
          <t>April 14 Daily Briefing</t>
        </is>
      </c>
      <c r="Q87" t="inlineStr">
        <is>
          <t>Investigate</t>
        </is>
      </c>
    </row>
    <row r="88">
      <c r="A88" t="inlineStr">
        <is>
          <t>2026-04-14</t>
        </is>
      </c>
      <c r="B88" t="inlineStr">
        <is>
          <t>2026-0414-005</t>
        </is>
      </c>
      <c r="C88" t="inlineStr">
        <is>
          <t>AI/LLM Threat</t>
        </is>
      </c>
      <c r="D88" t="inlineStr">
        <is>
          <t>Prompt Injection</t>
        </is>
      </c>
      <c r="E88" t="inlineStr">
        <is>
          <t>Cascading Prompt Injection in Multi-Agent Pipelines — Cross-Layer Propagation Attacks</t>
        </is>
      </c>
      <c r="F88" t="inlineStr">
        <is>
          <t>Successful injection at one layer of multi-agent pipeline propagates through every subsequent layer. Multi-step campaigns slowly shift agent understanding of goals. Each tool call is a security boundary attackers exploit.</t>
        </is>
      </c>
      <c r="G88" t="inlineStr">
        <is>
          <t>HIGH</t>
        </is>
      </c>
      <c r="H88" t="inlineStr">
        <is>
          <t>N/A — Research</t>
        </is>
      </c>
      <c r="I88" t="inlineStr">
        <is>
          <t>Prompt</t>
        </is>
      </c>
      <c r="J88" t="inlineStr">
        <is>
          <t>All Stages</t>
        </is>
      </c>
      <c r="K88" t="inlineStr">
        <is>
          <t>Security Risk</t>
        </is>
      </c>
      <c r="L88" t="inlineStr">
        <is>
          <t>Measure</t>
        </is>
      </c>
      <c r="M88" t="inlineStr">
        <is>
          <t>SI-10 AC-3 SC-7 SA-8</t>
        </is>
      </c>
      <c r="N88" t="inlineStr">
        <is>
          <t>A.14.2.5</t>
        </is>
      </c>
      <c r="O88" t="inlineStr">
        <is>
          <t>SI-10</t>
        </is>
      </c>
      <c r="P88" t="inlineStr">
        <is>
          <t>April 14 Daily Briefing</t>
        </is>
      </c>
      <c r="Q88" t="inlineStr">
        <is>
          <t>Monitor</t>
        </is>
      </c>
    </row>
    <row r="89">
      <c r="A89" t="inlineStr">
        <is>
          <t>2026-04-14</t>
        </is>
      </c>
      <c r="B89" t="inlineStr">
        <is>
          <t>2026-0414-006</t>
        </is>
      </c>
      <c r="C89" t="inlineStr">
        <is>
          <t>AI/LLM Threat</t>
        </is>
      </c>
      <c r="D89" t="inlineStr">
        <is>
          <t>Industry Advisory</t>
        </is>
      </c>
      <c r="E89" t="inlineStr">
        <is>
          <t>OpenAI Concedes Prompt Injection 'Unlikely to Ever Be Fully Solved'</t>
        </is>
      </c>
      <c r="F89" t="inlineStr">
        <is>
          <t>OpenAI published that prompt injection, like social engineering, is unlikely to ever be fully solved. Even with robust infrastructure companies can't guarantee defense. Signals permanent shift toward defense-in-depth for agentic AI.</t>
        </is>
      </c>
      <c r="G89" t="inlineStr">
        <is>
          <t>MEDIUM</t>
        </is>
      </c>
      <c r="H89" t="inlineStr">
        <is>
          <t>N/A</t>
        </is>
      </c>
      <c r="I89" t="inlineStr">
        <is>
          <t>Prompt</t>
        </is>
      </c>
      <c r="J89" t="inlineStr">
        <is>
          <t>All Stages</t>
        </is>
      </c>
      <c r="K89" t="inlineStr">
        <is>
          <t>Security Risk</t>
        </is>
      </c>
      <c r="L89" t="inlineStr">
        <is>
          <t>Govern</t>
        </is>
      </c>
      <c r="M89" t="inlineStr">
        <is>
          <t>PL-2 SA-8 SI-10 RA-3</t>
        </is>
      </c>
      <c r="N89" t="inlineStr">
        <is>
          <t>A.5.1</t>
        </is>
      </c>
      <c r="O89" t="inlineStr">
        <is>
          <t>PL-2</t>
        </is>
      </c>
      <c r="P89" t="inlineStr">
        <is>
          <t>April 14 Daily Briefing</t>
        </is>
      </c>
      <c r="Q89" t="inlineStr">
        <is>
          <t>Monitor</t>
        </is>
      </c>
    </row>
    <row r="90">
      <c r="A90" t="inlineStr">
        <is>
          <t>2026-04-14</t>
        </is>
      </c>
      <c r="B90" t="inlineStr">
        <is>
          <t>2026-0414-007</t>
        </is>
      </c>
      <c r="C90" t="inlineStr">
        <is>
          <t>Supply Chain</t>
        </is>
      </c>
      <c r="D90" t="inlineStr">
        <is>
          <t>Active Compromise</t>
        </is>
      </c>
      <c r="E90" t="inlineStr">
        <is>
          <t>Axios NPM Backdoor Still Active in Production — Vectra Detection Guidance Published</t>
        </is>
      </c>
      <c r="F90" t="inlineStr">
        <is>
          <t>Vectra AI published detection guidance for Axios supply chain compromise (DPRK UNC1069). Backdoor Trojans from v1.14.1/v0.30.4 still in hundreds of thousands of production systems. 100M weekly downloads affected.</t>
        </is>
      </c>
      <c r="G90" t="inlineStr">
        <is>
          <t>CRITICAL</t>
        </is>
      </c>
      <c r="H90" t="inlineStr">
        <is>
          <t>UNC1069 / DPRK</t>
        </is>
      </c>
      <c r="I90" t="inlineStr">
        <is>
          <t>Third-party Libraries</t>
        </is>
      </c>
      <c r="J90" t="inlineStr">
        <is>
          <t>Distribution</t>
        </is>
      </c>
      <c r="K90" t="inlineStr">
        <is>
          <t>Security Risk</t>
        </is>
      </c>
      <c r="L90" t="inlineStr">
        <is>
          <t>Manage</t>
        </is>
      </c>
      <c r="M90" t="inlineStr">
        <is>
          <t>SA-12 SR-3 SI-7 IR-4</t>
        </is>
      </c>
      <c r="N90" t="inlineStr">
        <is>
          <t>A.14.2.7</t>
        </is>
      </c>
      <c r="O90" t="inlineStr">
        <is>
          <t>SA-12</t>
        </is>
      </c>
      <c r="P90" t="inlineStr">
        <is>
          <t>April 14 Daily Briefing</t>
        </is>
      </c>
      <c r="Q90" t="inlineStr">
        <is>
          <t>Escalate</t>
        </is>
      </c>
    </row>
    <row r="91">
      <c r="A91" t="inlineStr">
        <is>
          <t>2026-04-14</t>
        </is>
      </c>
      <c r="B91" t="inlineStr">
        <is>
          <t>2026-0414-008</t>
        </is>
      </c>
      <c r="C91" t="inlineStr">
        <is>
          <t>Supply Chain</t>
        </is>
      </c>
      <c r="D91" t="inlineStr">
        <is>
          <t>Governance Failure</t>
        </is>
      </c>
      <c r="E91" t="inlineStr">
        <is>
          <t>Claude Source Code Leak Exposes Systemic Supply Chain Oversight Gaps</t>
        </is>
      </c>
      <c r="F91" t="inlineStr">
        <is>
          <t>Dark Reading analysis of accidental Anthropic Claude source code publication reveals systemic industry failures in supply chain governance. AI companies lack adequate controls for preventing disclosure of proprietary model artifacts.</t>
        </is>
      </c>
      <c r="G91" t="inlineStr">
        <is>
          <t>HIGH</t>
        </is>
      </c>
      <c r="H91" t="inlineStr">
        <is>
          <t>N/A</t>
        </is>
      </c>
      <c r="I91" t="inlineStr">
        <is>
          <t>Code</t>
        </is>
      </c>
      <c r="J91" t="inlineStr">
        <is>
          <t>Development</t>
        </is>
      </c>
      <c r="K91" t="inlineStr">
        <is>
          <t>Privacy Risk</t>
        </is>
      </c>
      <c r="L91" t="inlineStr">
        <is>
          <t>Govern</t>
        </is>
      </c>
      <c r="M91" t="inlineStr">
        <is>
          <t>SA-12 CM-3 AC-3 SC-28</t>
        </is>
      </c>
      <c r="N91" t="inlineStr">
        <is>
          <t>A.14.2.7</t>
        </is>
      </c>
      <c r="O91" t="inlineStr">
        <is>
          <t>SA-12</t>
        </is>
      </c>
      <c r="P91" t="inlineStr">
        <is>
          <t>April 14 Daily Briefing</t>
        </is>
      </c>
      <c r="Q91" t="inlineStr">
        <is>
          <t>Monitor</t>
        </is>
      </c>
    </row>
    <row r="92">
      <c r="A92" t="inlineStr">
        <is>
          <t>2026-04-14</t>
        </is>
      </c>
      <c r="B92" t="inlineStr">
        <is>
          <t>2026-0414-009</t>
        </is>
      </c>
      <c r="C92" t="inlineStr">
        <is>
          <t>Supply Chain</t>
        </is>
      </c>
      <c r="D92" t="inlineStr">
        <is>
          <t>Industry Report</t>
        </is>
      </c>
      <c r="E92" t="inlineStr">
        <is>
          <t>Talos Intelligence 2026 Supply Chain Defense Report — Security Tools as Attack Vectors</t>
        </is>
      </c>
      <c r="F92" t="inlineStr">
        <is>
          <t>Cisco Talos 2026 supply chain defense report highlights security tools (scanners, linters, CI runners) as primary attack vectors. Recommends zero-trust CI/CD and treating all developer tooling as attack surface.</t>
        </is>
      </c>
      <c r="G92" t="inlineStr">
        <is>
          <t>HIGH</t>
        </is>
      </c>
      <c r="H92" t="inlineStr">
        <is>
          <t>N/A — Research</t>
        </is>
      </c>
      <c r="I92" t="inlineStr">
        <is>
          <t>Code</t>
        </is>
      </c>
      <c r="J92" t="inlineStr">
        <is>
          <t>Distribution</t>
        </is>
      </c>
      <c r="K92" t="inlineStr">
        <is>
          <t>Security Risk</t>
        </is>
      </c>
      <c r="L92" t="inlineStr">
        <is>
          <t>Map</t>
        </is>
      </c>
      <c r="M92" t="inlineStr">
        <is>
          <t>SA-12 SR-3 SR-6 CM-3</t>
        </is>
      </c>
      <c r="N92" t="inlineStr">
        <is>
          <t>A.14.2.7</t>
        </is>
      </c>
      <c r="O92" t="inlineStr">
        <is>
          <t>SA-12</t>
        </is>
      </c>
      <c r="P92" t="inlineStr">
        <is>
          <t>April 14 Daily Briefing</t>
        </is>
      </c>
      <c r="Q92" t="inlineStr">
        <is>
          <t>Monitor</t>
        </is>
      </c>
    </row>
    <row r="93">
      <c r="A93" t="inlineStr">
        <is>
          <t>2026-04-14</t>
        </is>
      </c>
      <c r="B93" t="inlineStr">
        <is>
          <t>2026-0414-010</t>
        </is>
      </c>
      <c r="C93" t="inlineStr">
        <is>
          <t>Cloud Security</t>
        </is>
      </c>
      <c r="D93" t="inlineStr">
        <is>
          <t>Ransomware Deadline</t>
        </is>
      </c>
      <c r="E93" t="inlineStr">
        <is>
          <t>Rockstar Games ShinyHunters Ransom Deadline Today — Cloud Infrastructure Data at Stake</t>
        </is>
      </c>
      <c r="F93" t="inlineStr">
        <is>
          <t>ShinyHunters set April 14 deadline for Rockstar Games ransom payment or massive leak of stolen corporate data. Attackers infiltrated via third-party cloud provider. Stolen data includes employee credentials and dev tools.</t>
        </is>
      </c>
      <c r="G93" t="inlineStr">
        <is>
          <t>CRITICAL</t>
        </is>
      </c>
      <c r="H93" t="inlineStr">
        <is>
          <t>ShinyHunters</t>
        </is>
      </c>
      <c r="I93" t="inlineStr">
        <is>
          <t>Platform</t>
        </is>
      </c>
      <c r="J93" t="inlineStr">
        <is>
          <t>Delivery</t>
        </is>
      </c>
      <c r="K93" t="inlineStr">
        <is>
          <t>Security Risk</t>
        </is>
      </c>
      <c r="L93" t="inlineStr">
        <is>
          <t>Manage</t>
        </is>
      </c>
      <c r="M93" t="inlineStr">
        <is>
          <t>IR-4 IR-6 SC-7 AC-3</t>
        </is>
      </c>
      <c r="N93" t="inlineStr">
        <is>
          <t>A.16.1</t>
        </is>
      </c>
      <c r="O93" t="inlineStr">
        <is>
          <t>IR-4</t>
        </is>
      </c>
      <c r="P93" t="inlineStr">
        <is>
          <t>April 14 Daily Briefing</t>
        </is>
      </c>
      <c r="Q93" t="inlineStr">
        <is>
          <t>Monitor</t>
        </is>
      </c>
    </row>
    <row r="94">
      <c r="A94" t="inlineStr">
        <is>
          <t>2026-04-14</t>
        </is>
      </c>
      <c r="B94" t="inlineStr">
        <is>
          <t>2026-0414-011</t>
        </is>
      </c>
      <c r="C94" t="inlineStr">
        <is>
          <t>Cloud Security</t>
        </is>
      </c>
      <c r="D94" t="inlineStr">
        <is>
          <t>Zero-Day</t>
        </is>
      </c>
      <c r="E94" t="inlineStr">
        <is>
          <t>Adobe Acrobat Reader CVE-2026-34621 — Emergency Patch for Active Exploitation (CVSS 8.6)</t>
        </is>
      </c>
      <c r="F94" t="inlineStr">
        <is>
          <t>Adobe emergency out-of-band updates for critical Acrobat Reader CVE-2026-34621 (CVSS 8.6) actively exploited in wild. Requires user to open crafted PDF. Affects all desktop platforms. Immediate patching required.</t>
        </is>
      </c>
      <c r="G94" t="inlineStr">
        <is>
          <t>HIGH</t>
        </is>
      </c>
      <c r="H94" t="inlineStr">
        <is>
          <t>Unknown</t>
        </is>
      </c>
      <c r="I94" t="inlineStr">
        <is>
          <t>Application</t>
        </is>
      </c>
      <c r="J94" t="inlineStr">
        <is>
          <t>Deployment</t>
        </is>
      </c>
      <c r="K94" t="inlineStr">
        <is>
          <t>Security Risk</t>
        </is>
      </c>
      <c r="L94" t="inlineStr">
        <is>
          <t>Manage</t>
        </is>
      </c>
      <c r="M94" t="inlineStr">
        <is>
          <t>SI-2 SI-5 RA-5 CM-6</t>
        </is>
      </c>
      <c r="N94" t="inlineStr">
        <is>
          <t>A.12.6.1</t>
        </is>
      </c>
      <c r="O94" t="inlineStr">
        <is>
          <t>SI-2</t>
        </is>
      </c>
      <c r="P94" t="inlineStr">
        <is>
          <t>April 14 Daily Briefing</t>
        </is>
      </c>
      <c r="Q94" t="inlineStr">
        <is>
          <t>Escalate</t>
        </is>
      </c>
    </row>
    <row r="95">
      <c r="A95" t="inlineStr">
        <is>
          <t>2026-04-14</t>
        </is>
      </c>
      <c r="B95" t="inlineStr">
        <is>
          <t>2026-0414-012</t>
        </is>
      </c>
      <c r="C95" t="inlineStr">
        <is>
          <t>Cloud Security</t>
        </is>
      </c>
      <c r="D95" t="inlineStr">
        <is>
          <t>Zero-Day</t>
        </is>
      </c>
      <c r="E95" t="inlineStr">
        <is>
          <t>Windows Zero-Day Exploit Leaked Ahead of April Patch Tuesday</t>
        </is>
      </c>
      <c r="F95" t="inlineStr">
        <is>
          <t>Zero-day exploit for Windows leaked publicly before April 2026 Patch Tuesday. Exploit details circulating in underground forums. Microsoft expected to address in upcoming patch cycle. Compensating controls needed immediately.</t>
        </is>
      </c>
      <c r="G95" t="inlineStr">
        <is>
          <t>HIGH</t>
        </is>
      </c>
      <c r="H95" t="inlineStr">
        <is>
          <t>Unknown</t>
        </is>
      </c>
      <c r="I95" t="inlineStr">
        <is>
          <t>Platform</t>
        </is>
      </c>
      <c r="J95" t="inlineStr">
        <is>
          <t>Deployment</t>
        </is>
      </c>
      <c r="K95" t="inlineStr">
        <is>
          <t>Security Risk</t>
        </is>
      </c>
      <c r="L95" t="inlineStr">
        <is>
          <t>Manage</t>
        </is>
      </c>
      <c r="M95" t="inlineStr">
        <is>
          <t>SI-2 SI-5 RA-5 CM-6</t>
        </is>
      </c>
      <c r="N95" t="inlineStr">
        <is>
          <t>A.12.6.1</t>
        </is>
      </c>
      <c r="O95" t="inlineStr">
        <is>
          <t>SI-2</t>
        </is>
      </c>
      <c r="P95" t="inlineStr">
        <is>
          <t>April 14 Daily Briefing</t>
        </is>
      </c>
      <c r="Q95" t="inlineStr">
        <is>
          <t>Escalate</t>
        </is>
      </c>
    </row>
    <row r="96">
      <c r="A96" t="inlineStr">
        <is>
          <t>2026-04-14</t>
        </is>
      </c>
      <c r="B96" t="inlineStr">
        <is>
          <t>2026-0414-013</t>
        </is>
      </c>
      <c r="C96" t="inlineStr">
        <is>
          <t>General Cyber</t>
        </is>
      </c>
      <c r="D96" t="inlineStr">
        <is>
          <t>Data Breach</t>
        </is>
      </c>
      <c r="E96" t="inlineStr">
        <is>
          <t>SongTrivia 2.9M Account Breach — Auth Tokens Passwords and PII Published</t>
        </is>
      </c>
      <c r="F96" t="inlineStr">
        <is>
          <t>SongTrivia Inc. ransomware attack resulted in 2.917M accounts published on breach forum including auth tokens, email addresses, passwords, usernames. Mass credential exposure from entertainment platform.</t>
        </is>
      </c>
      <c r="G96" t="inlineStr">
        <is>
          <t>HIGH</t>
        </is>
      </c>
      <c r="H96" t="inlineStr">
        <is>
          <t>Unknown</t>
        </is>
      </c>
      <c r="I96" t="inlineStr">
        <is>
          <t>Application</t>
        </is>
      </c>
      <c r="J96" t="inlineStr">
        <is>
          <t>Delivery</t>
        </is>
      </c>
      <c r="K96" t="inlineStr">
        <is>
          <t>Privacy Risk</t>
        </is>
      </c>
      <c r="L96" t="inlineStr">
        <is>
          <t>Manage</t>
        </is>
      </c>
      <c r="M96" t="inlineStr">
        <is>
          <t>IR-4 IR-6 IA-5 AC-3</t>
        </is>
      </c>
      <c r="N96" t="inlineStr">
        <is>
          <t>A.16.1</t>
        </is>
      </c>
      <c r="O96" t="inlineStr">
        <is>
          <t>IR-4</t>
        </is>
      </c>
      <c r="P96" t="inlineStr">
        <is>
          <t>April 14 Daily Briefing</t>
        </is>
      </c>
      <c r="Q96" t="inlineStr">
        <is>
          <t>Monitor</t>
        </is>
      </c>
    </row>
    <row r="97">
      <c r="A97" t="inlineStr">
        <is>
          <t>2026-04-14</t>
        </is>
      </c>
      <c r="B97" t="inlineStr">
        <is>
          <t>2026-0414-014</t>
        </is>
      </c>
      <c r="C97" t="inlineStr">
        <is>
          <t>General Cyber</t>
        </is>
      </c>
      <c r="D97" t="inlineStr">
        <is>
          <t>MSP Ransomware</t>
        </is>
      </c>
      <c r="E97" t="inlineStr">
        <is>
          <t>ComTec Systems Ransomware — IT Provider Breach Cascades to Downstream Clients</t>
        </is>
      </c>
      <c r="F97" t="inlineStr">
        <is>
          <t>ComTec Systems MSP confirmed ransomware with data exfiltration. Breach cascades to all downstream client organizations. Class action potential. Highlights third-party provider risk in managed services.</t>
        </is>
      </c>
      <c r="G97" t="inlineStr">
        <is>
          <t>HIGH</t>
        </is>
      </c>
      <c r="H97" t="inlineStr">
        <is>
          <t>Unknown</t>
        </is>
      </c>
      <c r="I97" t="inlineStr">
        <is>
          <t>Application</t>
        </is>
      </c>
      <c r="J97" t="inlineStr">
        <is>
          <t>Delivery</t>
        </is>
      </c>
      <c r="K97" t="inlineStr">
        <is>
          <t>Security Risk</t>
        </is>
      </c>
      <c r="L97" t="inlineStr">
        <is>
          <t>Manage</t>
        </is>
      </c>
      <c r="M97" t="inlineStr">
        <is>
          <t>IR-4 SA-12 SC-7 CP-10</t>
        </is>
      </c>
      <c r="N97" t="inlineStr">
        <is>
          <t>A.15.1</t>
        </is>
      </c>
      <c r="O97" t="inlineStr">
        <is>
          <t>IR-4</t>
        </is>
      </c>
      <c r="P97" t="inlineStr">
        <is>
          <t>April 14 Daily Briefing</t>
        </is>
      </c>
      <c r="Q97" t="inlineStr">
        <is>
          <t>Monitor</t>
        </is>
      </c>
    </row>
    <row r="98">
      <c r="A98" t="inlineStr">
        <is>
          <t>2026-04-14</t>
        </is>
      </c>
      <c r="B98" t="inlineStr">
        <is>
          <t>2026-0414-015</t>
        </is>
      </c>
      <c r="C98" t="inlineStr">
        <is>
          <t>General Cyber</t>
        </is>
      </c>
      <c r="D98" t="inlineStr">
        <is>
          <t>Threat Intelligence</t>
        </is>
      </c>
      <c r="E98" t="inlineStr">
        <is>
          <t>Bitdefender April 2026 Threat Debrief — AI-Augmented Attack Techniques Accelerating</t>
        </is>
      </c>
      <c r="F98" t="inlineStr">
        <is>
          <t>Bitdefender April 2026 threat debrief: AI-augmented attack techniques mainstream. Attackers using AI for automated reconnaissance, polymorphic malware generation, sophisticated social engineering at scale.</t>
        </is>
      </c>
      <c r="G98" t="inlineStr">
        <is>
          <t>MEDIUM</t>
        </is>
      </c>
      <c r="H98" t="inlineStr">
        <is>
          <t>Multiple</t>
        </is>
      </c>
      <c r="I98" t="inlineStr">
        <is>
          <t>Application</t>
        </is>
      </c>
      <c r="J98" t="inlineStr">
        <is>
          <t>All Stages</t>
        </is>
      </c>
      <c r="K98" t="inlineStr">
        <is>
          <t>Security Risk</t>
        </is>
      </c>
      <c r="L98" t="inlineStr">
        <is>
          <t>Govern</t>
        </is>
      </c>
      <c r="M98" t="inlineStr">
        <is>
          <t>SI-4 RA-5 RA-3 PM-16</t>
        </is>
      </c>
      <c r="N98" t="inlineStr">
        <is>
          <t>A.5.1</t>
        </is>
      </c>
      <c r="O98" t="inlineStr">
        <is>
          <t>SI-4</t>
        </is>
      </c>
      <c r="P98" t="inlineStr">
        <is>
          <t>April 14 Daily Briefing</t>
        </is>
      </c>
      <c r="Q98" t="inlineStr">
        <is>
          <t>Monitor</t>
        </is>
      </c>
    </row>
    <row r="99">
      <c r="A99" t="inlineStr">
        <is>
          <t>2026-04-14</t>
        </is>
      </c>
      <c r="B99" t="inlineStr">
        <is>
          <t>2026-0414-016</t>
        </is>
      </c>
      <c r="C99" t="inlineStr">
        <is>
          <t>Research</t>
        </is>
      </c>
      <c r="D99" t="inlineStr">
        <is>
          <t>Security Database</t>
        </is>
      </c>
      <c r="E99" t="inlineStr">
        <is>
          <t>Vulnerable MCP Project Launches Comprehensive Security Database</t>
        </is>
      </c>
      <c r="F99" t="inlineStr">
        <is>
          <t>Vulnerable MCP Project (vulnerablemcp.info) launched as comprehensive database tracking all known MCP security vulnerabilities. Provides searchable interface, CVE mapping, and remediation guidance.</t>
        </is>
      </c>
      <c r="G99" t="inlineStr">
        <is>
          <t>INFO</t>
        </is>
      </c>
      <c r="H99" t="inlineStr">
        <is>
          <t>N/A</t>
        </is>
      </c>
      <c r="I99" t="inlineStr">
        <is>
          <t>N/A</t>
        </is>
      </c>
      <c r="J99" t="inlineStr">
        <is>
          <t>N/A</t>
        </is>
      </c>
      <c r="K99" t="inlineStr">
        <is>
          <t>N/A</t>
        </is>
      </c>
      <c r="L99" t="inlineStr">
        <is>
          <t>Govern</t>
        </is>
      </c>
      <c r="M99" t="inlineStr">
        <is>
          <t>RA-5 CA-8 PM-16</t>
        </is>
      </c>
      <c r="N99" t="inlineStr">
        <is>
          <t>A.18.2</t>
        </is>
      </c>
      <c r="O99" t="inlineStr">
        <is>
          <t>RA-5</t>
        </is>
      </c>
      <c r="P99" t="inlineStr">
        <is>
          <t>April 14 Daily Briefing</t>
        </is>
      </c>
      <c r="Q99" t="inlineStr">
        <is>
          <t>Monitor</t>
        </is>
      </c>
    </row>
    <row r="100">
      <c r="A100" t="inlineStr">
        <is>
          <t>2026-04-14</t>
        </is>
      </c>
      <c r="B100" t="inlineStr">
        <is>
          <t>2026-0414-017</t>
        </is>
      </c>
      <c r="C100" t="inlineStr">
        <is>
          <t>Research</t>
        </is>
      </c>
      <c r="D100" t="inlineStr">
        <is>
          <t>Academic Paper</t>
        </is>
      </c>
      <c r="E100" t="inlineStr">
        <is>
          <t>MCP-DPT Defense-Placement Taxonomy Published (arXiv:2604.07551) — Coverage Gap Analysis</t>
        </is>
      </c>
      <c r="F100" t="inlineStr">
        <is>
          <t>New paper provides systematic defense-placement taxonomy and coverage analysis for MCP security. Maps 5 defense layers against known attack vectors. Identifies significant coverage gaps in current implementations.</t>
        </is>
      </c>
      <c r="G100" t="inlineStr">
        <is>
          <t>INFO</t>
        </is>
      </c>
      <c r="H100" t="inlineStr">
        <is>
          <t>N/A</t>
        </is>
      </c>
      <c r="I100" t="inlineStr">
        <is>
          <t>N/A</t>
        </is>
      </c>
      <c r="J100" t="inlineStr">
        <is>
          <t>N/A</t>
        </is>
      </c>
      <c r="K100" t="inlineStr">
        <is>
          <t>N/A</t>
        </is>
      </c>
      <c r="L100" t="inlineStr">
        <is>
          <t>Map</t>
        </is>
      </c>
      <c r="M100" t="inlineStr">
        <is>
          <t>SA-12 SI-7 AC-3 CA-8</t>
        </is>
      </c>
      <c r="N100" t="inlineStr">
        <is>
          <t>A.18.2</t>
        </is>
      </c>
      <c r="O100" t="inlineStr">
        <is>
          <t>SA-12</t>
        </is>
      </c>
      <c r="P100" t="inlineStr">
        <is>
          <t>April 14 Daily Briefing</t>
        </is>
      </c>
      <c r="Q100" t="inlineStr">
        <is>
          <t>Monitor</t>
        </is>
      </c>
    </row>
    <row r="101">
      <c r="A101" t="inlineStr">
        <is>
          <t>2026-04-23</t>
        </is>
      </c>
      <c r="B101" t="inlineStr">
        <is>
          <t>2026-0423-001</t>
        </is>
      </c>
      <c r="C101" t="inlineStr">
        <is>
          <t>AI/LLM Threat</t>
        </is>
      </c>
      <c r="D101" t="inlineStr">
        <is>
          <t>MCP / Toolchain RCE</t>
        </is>
      </c>
      <c r="E101" t="inlineStr">
        <is>
          <t>Anthropic MCP STDIO Design Flaw - 30+ RCE Issues Across 7,000 Public Servers</t>
        </is>
      </c>
      <c r="F101" t="inlineStr">
        <is>
          <t>OX Security (Apr 15, 2026) disclosed systemic design vulnerability in Anthropic MCP SDKs. STDIO transport enables config-to-command execution. 200K+ MCP servers, 150M+ downloads, 14 CVEs, 30+ RCE in LiteLLM/LangFlow/Windsurf/Cursor/Flowise/DocsGPT/GPT Researcher. Anthropic declined to modify ('expected behavior').</t>
        </is>
      </c>
      <c r="G101" t="inlineStr">
        <is>
          <t>CRITICAL</t>
        </is>
      </c>
      <c r="H101" t="inlineStr">
        <is>
          <t>Multiple</t>
        </is>
      </c>
      <c r="I101" t="inlineStr">
        <is>
          <t>Toolchain</t>
        </is>
      </c>
      <c r="J101" t="inlineStr">
        <is>
          <t>Deployment</t>
        </is>
      </c>
      <c r="K101" t="inlineStr">
        <is>
          <t>Security Risk</t>
        </is>
      </c>
      <c r="L101" t="inlineStr">
        <is>
          <t>Govern/Manage</t>
        </is>
      </c>
      <c r="M101" t="inlineStr">
        <is>
          <t>SA-12,SR-3,SI-7,CM-3,AC-3</t>
        </is>
      </c>
      <c r="N101" t="inlineStr">
        <is>
          <t>A.14.2.5,A.14.2.7</t>
        </is>
      </c>
      <c r="O101" t="inlineStr">
        <is>
          <t>SA-12</t>
        </is>
      </c>
      <c r="P101" t="inlineStr">
        <is>
          <t>OX Security Advisory; The Hacker News Apr 20, 2026</t>
        </is>
      </c>
      <c r="Q101" t="inlineStr">
        <is>
          <t>Investigate - URGENT</t>
        </is>
      </c>
    </row>
    <row r="102">
      <c r="A102" t="inlineStr">
        <is>
          <t>2026-04-23</t>
        </is>
      </c>
      <c r="B102" t="inlineStr">
        <is>
          <t>2026-0423-002</t>
        </is>
      </c>
      <c r="C102" t="inlineStr">
        <is>
          <t>AI/LLM Threat</t>
        </is>
      </c>
      <c r="D102" t="inlineStr">
        <is>
          <t>MCP / Toolchain RCE</t>
        </is>
      </c>
      <c r="E102" t="inlineStr">
        <is>
          <t>CVE-2026-30623 - LiteLLM Command Injection via Anthropic MCP STDIO</t>
        </is>
      </c>
      <c r="F102" t="inlineStr">
        <is>
          <t>Downstream manifestation of MCP STDIO design flaw. LiteLLM MCP client spawns subprocesses from user-controllable config. Hardening fixes issued; recommend migrating to SSE/HTTP transport.</t>
        </is>
      </c>
      <c r="G102" t="inlineStr">
        <is>
          <t>CRITICAL</t>
        </is>
      </c>
      <c r="H102" t="inlineStr">
        <is>
          <t>N/A</t>
        </is>
      </c>
      <c r="I102" t="inlineStr">
        <is>
          <t>Toolchain</t>
        </is>
      </c>
      <c r="J102" t="inlineStr">
        <is>
          <t>Deployment</t>
        </is>
      </c>
      <c r="K102" t="inlineStr">
        <is>
          <t>Security Risk</t>
        </is>
      </c>
      <c r="L102" t="inlineStr">
        <is>
          <t>Manage</t>
        </is>
      </c>
      <c r="M102" t="inlineStr">
        <is>
          <t>SI-10,SA-11,SC-7,AC-3</t>
        </is>
      </c>
      <c r="N102" t="inlineStr">
        <is>
          <t>A.14.2.5</t>
        </is>
      </c>
      <c r="O102" t="inlineStr">
        <is>
          <t>SI-10</t>
        </is>
      </c>
      <c r="P102" t="inlineStr">
        <is>
          <t>docs.litellm.ai Apr 2026 Security Hardening Bulletin</t>
        </is>
      </c>
      <c r="Q102" t="inlineStr">
        <is>
          <t>Investigate - URGENT</t>
        </is>
      </c>
    </row>
    <row r="103">
      <c r="A103" t="inlineStr">
        <is>
          <t>2026-04-23</t>
        </is>
      </c>
      <c r="B103" t="inlineStr">
        <is>
          <t>2026-0423-003</t>
        </is>
      </c>
      <c r="C103" t="inlineStr">
        <is>
          <t>AI/LLM Threat</t>
        </is>
      </c>
      <c r="D103" t="inlineStr">
        <is>
          <t>Inference Engine SSRF</t>
        </is>
      </c>
      <c r="E103" t="inlineStr">
        <is>
          <t>CVE-2026-33626 - LMDeploy SSRF Exploited Within 12 Hours (CVSS 7.5)</t>
        </is>
      </c>
      <c r="F103" t="inlineStr">
        <is>
          <t>GHSA-6w67-hwm5-92mq published Apr 21, 2026. Vision-LLM endpoint in LMDeploy &lt;0.12.3 permits SSRF enabling internal scanning, cloud metadata access, service enumeration. Exploited within 12 hours of advisory.</t>
        </is>
      </c>
      <c r="G103" t="inlineStr">
        <is>
          <t>CRITICAL</t>
        </is>
      </c>
      <c r="H103" t="inlineStr">
        <is>
          <t>Unknown/opportunistic</t>
        </is>
      </c>
      <c r="I103" t="inlineStr">
        <is>
          <t>Platform</t>
        </is>
      </c>
      <c r="J103" t="inlineStr">
        <is>
          <t>Deployment</t>
        </is>
      </c>
      <c r="K103" t="inlineStr">
        <is>
          <t>Security Risk</t>
        </is>
      </c>
      <c r="L103" t="inlineStr">
        <is>
          <t>Manage</t>
        </is>
      </c>
      <c r="M103" t="inlineStr">
        <is>
          <t>SC-7,SI-4,SI-10,RA-5</t>
        </is>
      </c>
      <c r="N103" t="inlineStr">
        <is>
          <t>A.13.1</t>
        </is>
      </c>
      <c r="O103" t="inlineStr">
        <is>
          <t>SC-7</t>
        </is>
      </c>
      <c r="P103" t="inlineStr">
        <is>
          <t>Sysdig; CyberPress Apr 2026</t>
        </is>
      </c>
      <c r="Q103" t="inlineStr">
        <is>
          <t>Patch - URGENT</t>
        </is>
      </c>
    </row>
    <row r="104">
      <c r="A104" t="inlineStr">
        <is>
          <t>2026-04-23</t>
        </is>
      </c>
      <c r="B104" t="inlineStr">
        <is>
          <t>2026-0423-004</t>
        </is>
      </c>
      <c r="C104" t="inlineStr">
        <is>
          <t>AI/LLM Threat</t>
        </is>
      </c>
      <c r="D104" t="inlineStr">
        <is>
          <t>Memory Poisoning</t>
        </is>
      </c>
      <c r="E104" t="inlineStr">
        <is>
          <t>Memory Poisoning Jumps to 80%+ Success When Agents Consult Long-Term Memory</t>
        </is>
      </c>
      <c r="F104" t="inlineStr">
        <is>
          <t>Microsoft Security / MintMCP research: baseline injection 40%, rises to 80%+ when agent reads memory/RAG before responding. Poisoned entries persist across sessions. Directly maps to OWASP ASI06. Affects GPT-5 mini, Claude Sonnet 4.5 class, most RAG agents.</t>
        </is>
      </c>
      <c r="G104" t="inlineStr">
        <is>
          <t>CRITICAL</t>
        </is>
      </c>
      <c r="H104" t="inlineStr">
        <is>
          <t>N/A - Research</t>
        </is>
      </c>
      <c r="I104" t="inlineStr">
        <is>
          <t>Data</t>
        </is>
      </c>
      <c r="J104" t="inlineStr">
        <is>
          <t>All Stages</t>
        </is>
      </c>
      <c r="K104" t="inlineStr">
        <is>
          <t>Security Risk</t>
        </is>
      </c>
      <c r="L104" t="inlineStr">
        <is>
          <t>Measure</t>
        </is>
      </c>
      <c r="M104" t="inlineStr">
        <is>
          <t>SI-7,SI-10,AC-3,IR-4</t>
        </is>
      </c>
      <c r="N104" t="inlineStr">
        <is>
          <t>A.14.1.2</t>
        </is>
      </c>
      <c r="O104" t="inlineStr">
        <is>
          <t>SI-7</t>
        </is>
      </c>
      <c r="P104" t="inlineStr">
        <is>
          <t>Microsoft Security Blog Feb 10 2026; MintMCP 2026</t>
        </is>
      </c>
      <c r="Q104" t="inlineStr">
        <is>
          <t>Monitor/Implement</t>
        </is>
      </c>
    </row>
    <row r="105">
      <c r="A105" t="inlineStr">
        <is>
          <t>2026-04-23</t>
        </is>
      </c>
      <c r="B105" t="inlineStr">
        <is>
          <t>2026-0423-005</t>
        </is>
      </c>
      <c r="C105" t="inlineStr">
        <is>
          <t>AI/LLM Threat</t>
        </is>
      </c>
      <c r="D105" t="inlineStr">
        <is>
          <t>Recommendation Poisoning</t>
        </is>
      </c>
      <c r="E105" t="inlineStr">
        <is>
          <t>AI Recommendation Poisoning - Monetized Memory Attacks at Scale</t>
        </is>
      </c>
      <c r="F105" t="inlineStr">
        <is>
          <t>Microsoft Security Blog Feb 10 2026: threat actors poisoning AI recommendation memory for financial gain, coercing agents to recommend products/services/financial instruments. Commercializes ASI06 beyond academic research.</t>
        </is>
      </c>
      <c r="G105" t="inlineStr">
        <is>
          <t>HIGH</t>
        </is>
      </c>
      <c r="H105" t="inlineStr">
        <is>
          <t>Financially-motivated</t>
        </is>
      </c>
      <c r="I105" t="inlineStr">
        <is>
          <t>Data</t>
        </is>
      </c>
      <c r="J105" t="inlineStr">
        <is>
          <t>Deployment</t>
        </is>
      </c>
      <c r="K105" t="inlineStr">
        <is>
          <t>Security + Integrity Risk</t>
        </is>
      </c>
      <c r="L105" t="inlineStr">
        <is>
          <t>Govern/Measure</t>
        </is>
      </c>
      <c r="M105" t="inlineStr">
        <is>
          <t>SI-7,SI-10,PM-16,RA-3</t>
        </is>
      </c>
      <c r="N105" t="inlineStr">
        <is>
          <t>A.14.1.2</t>
        </is>
      </c>
      <c r="O105" t="inlineStr">
        <is>
          <t>SI-7</t>
        </is>
      </c>
      <c r="P105" t="inlineStr">
        <is>
          <t>Microsoft Security Blog Feb 10 2026</t>
        </is>
      </c>
      <c r="Q105" t="inlineStr">
        <is>
          <t>Investigate</t>
        </is>
      </c>
    </row>
    <row r="106">
      <c r="A106" t="inlineStr">
        <is>
          <t>2026-04-23</t>
        </is>
      </c>
      <c r="B106" t="inlineStr">
        <is>
          <t>2026-0423-006</t>
        </is>
      </c>
      <c r="C106" t="inlineStr">
        <is>
          <t>AI/LLM Threat</t>
        </is>
      </c>
      <c r="D106" t="inlineStr">
        <is>
          <t>Governance Signal</t>
        </is>
      </c>
      <c r="E106" t="inlineStr">
        <is>
          <t>88% of Enterprises Reported an AI Agent Security Incident in the Last 12 Months</t>
        </is>
      </c>
      <c r="F106" t="inlineStr">
        <is>
          <t>VentureBeat enterprise maturity survey: 88% reported AI agent incidents in past year; 97% expect a material incident within 12 months. Only 6% of security budgets address agent risk. Stage-three threats have outpaced stage-one spend.</t>
        </is>
      </c>
      <c r="G106" t="inlineStr">
        <is>
          <t>HIGH</t>
        </is>
      </c>
      <c r="H106" t="inlineStr">
        <is>
          <t>Multiple</t>
        </is>
      </c>
      <c r="I106" t="inlineStr">
        <is>
          <t>Platform/Application</t>
        </is>
      </c>
      <c r="J106" t="inlineStr">
        <is>
          <t>All Stages</t>
        </is>
      </c>
      <c r="K106" t="inlineStr">
        <is>
          <t>Governance Risk</t>
        </is>
      </c>
      <c r="L106" t="inlineStr">
        <is>
          <t>Govern</t>
        </is>
      </c>
      <c r="M106" t="inlineStr">
        <is>
          <t>PL-2,PM-1,RA-3,PM-16</t>
        </is>
      </c>
      <c r="N106" t="inlineStr">
        <is>
          <t>A.5.1,A.6.1</t>
        </is>
      </c>
      <c r="O106" t="inlineStr">
        <is>
          <t>PL-2</t>
        </is>
      </c>
      <c r="P106" t="inlineStr">
        <is>
          <t>VentureBeat Apr 2026 / Cryptopond</t>
        </is>
      </c>
      <c r="Q106" t="inlineStr">
        <is>
          <t>Escalate to Leadership</t>
        </is>
      </c>
    </row>
    <row r="107">
      <c r="A107" t="inlineStr">
        <is>
          <t>2026-04-23</t>
        </is>
      </c>
      <c r="B107" t="inlineStr">
        <is>
          <t>2026-0423-007</t>
        </is>
      </c>
      <c r="C107" t="inlineStr">
        <is>
          <t>AI/LLM Threat</t>
        </is>
      </c>
      <c r="D107" t="inlineStr">
        <is>
          <t>Agent Privilege Abuse</t>
        </is>
      </c>
      <c r="E107" t="inlineStr">
        <is>
          <t>AI Trading Agent $45M Crypto Breach - Autonomous Transaction Hijack</t>
        </is>
      </c>
      <c r="F107" t="inlineStr">
        <is>
          <t>KuCoin analysis: attackers exploited AI trading agent integration to hijack transaction signing authority, exfiltrating ~$45M. Combines ASI03 (privilege abuse via delegated keys), ASI02 (tool misuse), ASI09 (human trust in agent recommendations).</t>
        </is>
      </c>
      <c r="G107" t="inlineStr">
        <is>
          <t>HIGH</t>
        </is>
      </c>
      <c r="H107" t="inlineStr">
        <is>
          <t>Unknown/financial</t>
        </is>
      </c>
      <c r="I107" t="inlineStr">
        <is>
          <t>Application</t>
        </is>
      </c>
      <c r="J107" t="inlineStr">
        <is>
          <t>Operation</t>
        </is>
      </c>
      <c r="K107" t="inlineStr">
        <is>
          <t>Security + Financial Risk</t>
        </is>
      </c>
      <c r="L107" t="inlineStr">
        <is>
          <t>Manage</t>
        </is>
      </c>
      <c r="M107" t="inlineStr">
        <is>
          <t>AC-3,AC-6,IA-5,AU-12,IR-4</t>
        </is>
      </c>
      <c r="N107" t="inlineStr">
        <is>
          <t>A.9.2,A.16.1</t>
        </is>
      </c>
      <c r="O107" t="inlineStr">
        <is>
          <t>AC-3</t>
        </is>
      </c>
      <c r="P107" t="inlineStr">
        <is>
          <t>KuCoin 2026 AI Trading Agent Vulnerability Report</t>
        </is>
      </c>
      <c r="Q107" t="inlineStr">
        <is>
          <t>Investigate</t>
        </is>
      </c>
    </row>
    <row r="108">
      <c r="A108" t="inlineStr">
        <is>
          <t>2026-04-23</t>
        </is>
      </c>
      <c r="B108" t="inlineStr">
        <is>
          <t>2026-0423-008</t>
        </is>
      </c>
      <c r="C108" t="inlineStr">
        <is>
          <t>AI/LLM Threat</t>
        </is>
      </c>
      <c r="D108" t="inlineStr">
        <is>
          <t>Offensive AI Capability</t>
        </is>
      </c>
      <c r="E108" t="inlineStr">
        <is>
          <t>AI-Accelerated Exploit Generation - 360 Digital Security Auto-Discovers ~1,000 Flaws</t>
        </is>
      </c>
      <c r="F108" t="inlineStr">
        <is>
          <t>Bloomberg Apr 22 2026: China's 360 Digital Security 'Vulnerability Discovery Agent' identified ~1,000 unknown vulnerabilities across MS Office, OpenClaw, other mainstream software. Autonomous vulnerability-discovery now operational at nation-scale.</t>
        </is>
      </c>
      <c r="G108" t="inlineStr">
        <is>
          <t>HIGH</t>
        </is>
      </c>
      <c r="H108" t="inlineStr">
        <is>
          <t>360 Digital Security / state-aligned</t>
        </is>
      </c>
      <c r="I108" t="inlineStr">
        <is>
          <t>Platform</t>
        </is>
      </c>
      <c r="J108" t="inlineStr">
        <is>
          <t>Pre-deployment</t>
        </is>
      </c>
      <c r="K108" t="inlineStr">
        <is>
          <t>Security Risk (capability)</t>
        </is>
      </c>
      <c r="L108" t="inlineStr">
        <is>
          <t>Govern/Measure</t>
        </is>
      </c>
      <c r="M108" t="inlineStr">
        <is>
          <t>RA-3,RA-5,SI-5,PM-16</t>
        </is>
      </c>
      <c r="N108" t="inlineStr">
        <is>
          <t>A.5.1,A.12.6.1</t>
        </is>
      </c>
      <c r="O108" t="inlineStr">
        <is>
          <t>RA-3</t>
        </is>
      </c>
      <c r="P108" t="inlineStr">
        <is>
          <t>Bloomberg Apr 22 2026</t>
        </is>
      </c>
      <c r="Q108" t="inlineStr">
        <is>
          <t>Monitor</t>
        </is>
      </c>
    </row>
    <row r="109">
      <c r="A109" t="inlineStr">
        <is>
          <t>2026-04-23</t>
        </is>
      </c>
      <c r="B109" t="inlineStr">
        <is>
          <t>2026-0423-009</t>
        </is>
      </c>
      <c r="C109" t="inlineStr">
        <is>
          <t>Supply Chain</t>
        </is>
      </c>
      <c r="D109" t="inlineStr">
        <is>
          <t>AI Toolchain RCE</t>
        </is>
      </c>
      <c r="E109" t="inlineStr">
        <is>
          <t>CVE-2026-39987 - Marimo Pre-Auth RCE in AI Developer Notebook</t>
        </is>
      </c>
      <c r="F109" t="inlineStr">
        <is>
          <t>Cloud Security Alliance lab research note: pre-auth RCE in Marimo reactive Python notebook. Notebooks hold model artifacts, data credentials, often privileged cloud roles. Patch and restrict exposure to internal networks.</t>
        </is>
      </c>
      <c r="G109" t="inlineStr">
        <is>
          <t>HIGH</t>
        </is>
      </c>
      <c r="H109" t="inlineStr">
        <is>
          <t>Unknown</t>
        </is>
      </c>
      <c r="I109" t="inlineStr">
        <is>
          <t>Toolchain</t>
        </is>
      </c>
      <c r="J109" t="inlineStr">
        <is>
          <t>Development</t>
        </is>
      </c>
      <c r="K109" t="inlineStr">
        <is>
          <t>Security Risk</t>
        </is>
      </c>
      <c r="L109" t="inlineStr">
        <is>
          <t>Manage</t>
        </is>
      </c>
      <c r="M109" t="inlineStr">
        <is>
          <t>SA-11,SC-7,AC-3,SI-2</t>
        </is>
      </c>
      <c r="N109" t="inlineStr">
        <is>
          <t>A.14.2.5</t>
        </is>
      </c>
      <c r="O109" t="inlineStr">
        <is>
          <t>SA-11</t>
        </is>
      </c>
      <c r="P109" t="inlineStr">
        <is>
          <t>CSA Labs Research Note 2026</t>
        </is>
      </c>
      <c r="Q109" t="inlineStr">
        <is>
          <t>Patch</t>
        </is>
      </c>
    </row>
    <row r="110">
      <c r="A110" t="inlineStr">
        <is>
          <t>2026-04-23</t>
        </is>
      </c>
      <c r="B110" t="inlineStr">
        <is>
          <t>2026-0423-010</t>
        </is>
      </c>
      <c r="C110" t="inlineStr">
        <is>
          <t>Supply Chain</t>
        </is>
      </c>
      <c r="D110" t="inlineStr">
        <is>
          <t>Third-party AI SaaS</t>
        </is>
      </c>
      <c r="E110" t="inlineStr">
        <is>
          <t>Context.ai - Vercel Supply Chain Breach - Third-Party AI Tool Pivot</t>
        </is>
      </c>
      <c r="F110" t="inlineStr">
        <is>
          <t>TechCrunch/Vercel Apr 20 2026: Vercel incident originated from Context.ai compromise, attacker pivoted through AI SaaS to takeover Google Workspace account, access customer data. Canonical ASI04 reaching hosting provider.</t>
        </is>
      </c>
      <c r="G110" t="inlineStr">
        <is>
          <t>HIGH</t>
        </is>
      </c>
      <c r="H110" t="inlineStr">
        <is>
          <t>Unknown</t>
        </is>
      </c>
      <c r="I110" t="inlineStr">
        <is>
          <t>Third-party AI SaaS</t>
        </is>
      </c>
      <c r="J110" t="inlineStr">
        <is>
          <t>Deployment</t>
        </is>
      </c>
      <c r="K110" t="inlineStr">
        <is>
          <t>Privacy + Security Risk</t>
        </is>
      </c>
      <c r="L110" t="inlineStr">
        <is>
          <t>Manage</t>
        </is>
      </c>
      <c r="M110" t="inlineStr">
        <is>
          <t>SA-12,SR-3,AC-3,IA-5,IR-4</t>
        </is>
      </c>
      <c r="N110" t="inlineStr">
        <is>
          <t>A.15.1,A.15.2</t>
        </is>
      </c>
      <c r="O110" t="inlineStr">
        <is>
          <t>SA-12</t>
        </is>
      </c>
      <c r="P110" t="inlineStr">
        <is>
          <t>TechCrunch / Vercel KB Apr 20 2026</t>
        </is>
      </c>
      <c r="Q110" t="inlineStr">
        <is>
          <t>Rotate Credentials</t>
        </is>
      </c>
    </row>
    <row r="111">
      <c r="A111" t="inlineStr">
        <is>
          <t>2026-04-23</t>
        </is>
      </c>
      <c r="B111" t="inlineStr">
        <is>
          <t>2026-0423-011</t>
        </is>
      </c>
      <c r="C111" t="inlineStr">
        <is>
          <t>Supply Chain</t>
        </is>
      </c>
      <c r="D111" t="inlineStr">
        <is>
          <t>AI Workflow Platform</t>
        </is>
      </c>
      <c r="E111" t="inlineStr">
        <is>
          <t>Critical RCE in n8n AI Workflow Platform - Full Instance Takeover</t>
        </is>
      </c>
      <c r="F111" t="inlineStr">
        <is>
          <t>CSO Online: critical RCE in n8n AI/automation workflow platform. n8n hosts credentials for every integrated SaaS - single compromise = master-key event. Patch and rotate credentials.</t>
        </is>
      </c>
      <c r="G111" t="inlineStr">
        <is>
          <t>HIGH</t>
        </is>
      </c>
      <c r="H111" t="inlineStr">
        <is>
          <t>Unknown</t>
        </is>
      </c>
      <c r="I111" t="inlineStr">
        <is>
          <t>Application</t>
        </is>
      </c>
      <c r="J111" t="inlineStr">
        <is>
          <t>Deployment</t>
        </is>
      </c>
      <c r="K111" t="inlineStr">
        <is>
          <t>Security Risk</t>
        </is>
      </c>
      <c r="L111" t="inlineStr">
        <is>
          <t>Manage</t>
        </is>
      </c>
      <c r="M111" t="inlineStr">
        <is>
          <t>SI-2,SI-5,AC-3,IA-5</t>
        </is>
      </c>
      <c r="N111" t="inlineStr">
        <is>
          <t>A.12.6.1,A.9.2</t>
        </is>
      </c>
      <c r="O111" t="inlineStr">
        <is>
          <t>SI-2</t>
        </is>
      </c>
      <c r="P111" t="inlineStr">
        <is>
          <t>CSO Online 2026</t>
        </is>
      </c>
      <c r="Q111" t="inlineStr">
        <is>
          <t>Patch - HIGH</t>
        </is>
      </c>
    </row>
    <row r="112">
      <c r="A112" t="inlineStr">
        <is>
          <t>2026-04-23</t>
        </is>
      </c>
      <c r="B112" t="inlineStr">
        <is>
          <t>2026-0423-012</t>
        </is>
      </c>
      <c r="C112" t="inlineStr">
        <is>
          <t>Cloud Security</t>
        </is>
      </c>
      <c r="D112" t="inlineStr">
        <is>
          <t>AI Defensive Capability</t>
        </is>
      </c>
      <c r="E112" t="inlineStr">
        <is>
          <t>Microsoft Project Glasswing - AI vs AI Defensive Scanning Harness (Preview Jun 2026)</t>
        </is>
      </c>
      <c r="F112" t="inlineStr">
        <is>
          <t>Microsoft Security Blog Apr 22 2026: Project Glasswing multi-model AI defensive scanning harness enters preview June 2026. Microsoft partnered with Anthropic Claude Mythos Preview for pre-disclosure testing.</t>
        </is>
      </c>
      <c r="G112" t="inlineStr">
        <is>
          <t>MEDIUM</t>
        </is>
      </c>
      <c r="H112" t="inlineStr">
        <is>
          <t>Microsoft + Anthropic</t>
        </is>
      </c>
      <c r="I112" t="inlineStr">
        <is>
          <t>Platform</t>
        </is>
      </c>
      <c r="J112" t="inlineStr">
        <is>
          <t>Pre-deployment</t>
        </is>
      </c>
      <c r="K112" t="inlineStr">
        <is>
          <t>Security Capability</t>
        </is>
      </c>
      <c r="L112" t="inlineStr">
        <is>
          <t>Measure/Manage</t>
        </is>
      </c>
      <c r="M112" t="inlineStr">
        <is>
          <t>CA-8,RA-5,SA-11</t>
        </is>
      </c>
      <c r="N112" t="inlineStr">
        <is>
          <t>A.12.6.1</t>
        </is>
      </c>
      <c r="O112" t="inlineStr">
        <is>
          <t>CA-8</t>
        </is>
      </c>
      <c r="P112" t="inlineStr">
        <is>
          <t>Microsoft Security Blog Apr 22 2026</t>
        </is>
      </c>
      <c r="Q112" t="inlineStr">
        <is>
          <t>Monitor</t>
        </is>
      </c>
    </row>
    <row r="113">
      <c r="A113" t="inlineStr">
        <is>
          <t>2026-04-23</t>
        </is>
      </c>
      <c r="B113" t="inlineStr">
        <is>
          <t>2026-0423-013</t>
        </is>
      </c>
      <c r="C113" t="inlineStr">
        <is>
          <t>Cloud Security</t>
        </is>
      </c>
      <c r="D113" t="inlineStr">
        <is>
          <t>Endpoint Security Abuse</t>
        </is>
      </c>
      <c r="E113" t="inlineStr">
        <is>
          <t>Microsoft Defender Abuse - BlueHammer / RedSun / UnDefend Weaponize Remediation</t>
        </is>
      </c>
      <c r="F113" t="inlineStr">
        <is>
          <t>Three public PoCs - BlueHammer, RedSun, UnDefend - weaponize Microsoft Defender's remediation workflow for attacker-controlled actions. Two remain unpatched zero-days as of Apr 22. Relevant to AI endpoints / agent hosts relying on Defender telemetry.</t>
        </is>
      </c>
      <c r="G113" t="inlineStr">
        <is>
          <t>HIGH</t>
        </is>
      </c>
      <c r="H113" t="inlineStr">
        <is>
          <t>Unknown</t>
        </is>
      </c>
      <c r="I113" t="inlineStr">
        <is>
          <t>Platform</t>
        </is>
      </c>
      <c r="J113" t="inlineStr">
        <is>
          <t>Deployment</t>
        </is>
      </c>
      <c r="K113" t="inlineStr">
        <is>
          <t>Security Risk</t>
        </is>
      </c>
      <c r="L113" t="inlineStr">
        <is>
          <t>Manage</t>
        </is>
      </c>
      <c r="M113" t="inlineStr">
        <is>
          <t>SI-3,SI-4,IR-4,CM-6</t>
        </is>
      </c>
      <c r="N113" t="inlineStr">
        <is>
          <t>A.12.2</t>
        </is>
      </c>
      <c r="O113" t="inlineStr">
        <is>
          <t>SI-3</t>
        </is>
      </c>
      <c r="P113" t="inlineStr">
        <is>
          <t>Microsoft Security Blog Apr 2026</t>
        </is>
      </c>
      <c r="Q113" t="inlineStr">
        <is>
          <t>Compensating Controls</t>
        </is>
      </c>
    </row>
    <row r="114">
      <c r="A114" t="inlineStr">
        <is>
          <t>2026-04-23</t>
        </is>
      </c>
      <c r="B114" t="inlineStr">
        <is>
          <t>2026-0423-014</t>
        </is>
      </c>
      <c r="C114" t="inlineStr">
        <is>
          <t>Research</t>
        </is>
      </c>
      <c r="D114" t="inlineStr">
        <is>
          <t>Framework Update</t>
        </is>
      </c>
      <c r="E114" t="inlineStr">
        <is>
          <t>MITRE ATLAS v5.4.0 - February 2026 Agentic Technique Expansion</t>
        </is>
      </c>
      <c r="F114" t="inlineStr">
        <is>
          <t>MITRE ATLAS v5.4.0 adds agentic techniques: workflow chaining, delegated-authority persistence, API orchestration risk. 16 tactics, 84 techniques, 56 sub-techniques, 32 mitigations, 42 case studies. STIX 2.1 feed at atlas.mitre.org. New case studies: SesameOp (AML.CS0042), iProov deepfake KYC bypass.</t>
        </is>
      </c>
      <c r="G114" t="inlineStr">
        <is>
          <t>INFO</t>
        </is>
      </c>
      <c r="H114" t="inlineStr">
        <is>
          <t>N/A - Framework</t>
        </is>
      </c>
      <c r="I114" t="inlineStr">
        <is>
          <t>N/A</t>
        </is>
      </c>
      <c r="J114" t="inlineStr">
        <is>
          <t>N/A</t>
        </is>
      </c>
      <c r="K114" t="inlineStr">
        <is>
          <t>N/A</t>
        </is>
      </c>
      <c r="L114" t="inlineStr">
        <is>
          <t>Map/Measure</t>
        </is>
      </c>
      <c r="M114" t="inlineStr">
        <is>
          <t>CA-8,PM-16,RA-3</t>
        </is>
      </c>
      <c r="N114" t="inlineStr">
        <is>
          <t>A.18.2</t>
        </is>
      </c>
      <c r="O114" t="inlineStr">
        <is>
          <t>CA-8</t>
        </is>
      </c>
      <c r="P114" t="inlineStr">
        <is>
          <t>MITRE ATLAS v5.4.0 / Zenity blog</t>
        </is>
      </c>
      <c r="Q114" t="inlineStr">
        <is>
          <t>Integrate into TIP</t>
        </is>
      </c>
    </row>
    <row r="115">
      <c r="A115" t="inlineStr">
        <is>
          <t>2026-04-23</t>
        </is>
      </c>
      <c r="B115" t="inlineStr">
        <is>
          <t>2026-0423-015</t>
        </is>
      </c>
      <c r="C115" t="inlineStr">
        <is>
          <t>Research</t>
        </is>
      </c>
      <c r="D115" t="inlineStr">
        <is>
          <t>Framework Update</t>
        </is>
      </c>
      <c r="E115" t="inlineStr">
        <is>
          <t>OWASP Top 10 for Agentic Applications 2026 - Formal Benchmark Published</t>
        </is>
      </c>
      <c r="F115" t="inlineStr">
        <is>
          <t>OWASP GenAI Security Project (Dec 2025, actively adopted Apr 2026): Top 10 for Agentic Applications (ASI01-ASI10). Peer reviewed by 100+ experts. Two principles: Least-Agency, Strong Observability. MSFT Copilot Studio, Auth0, Palo Alto, NeuralTrust, Teleport, Giskard have published implementation guides.</t>
        </is>
      </c>
      <c r="G115" t="inlineStr">
        <is>
          <t>INFO</t>
        </is>
      </c>
      <c r="H115" t="inlineStr">
        <is>
          <t>N/A - Framework</t>
        </is>
      </c>
      <c r="I115" t="inlineStr">
        <is>
          <t>N/A</t>
        </is>
      </c>
      <c r="J115" t="inlineStr">
        <is>
          <t>N/A</t>
        </is>
      </c>
      <c r="K115" t="inlineStr">
        <is>
          <t>N/A</t>
        </is>
      </c>
      <c r="L115" t="inlineStr">
        <is>
          <t>Govern/Map</t>
        </is>
      </c>
      <c r="M115" t="inlineStr">
        <is>
          <t>PL-2,PM-1,SA-11</t>
        </is>
      </c>
      <c r="N115" t="inlineStr">
        <is>
          <t>A.5.1</t>
        </is>
      </c>
      <c r="O115" t="inlineStr">
        <is>
          <t>PL-2</t>
        </is>
      </c>
      <c r="P115" t="inlineStr">
        <is>
          <t>genai.owasp.org 2025-12-09</t>
        </is>
      </c>
      <c r="Q115" t="inlineStr">
        <is>
          <t>Control Mapping</t>
        </is>
      </c>
    </row>
    <row r="116">
      <c r="A116" t="inlineStr">
        <is>
          <t>2026-04-23</t>
        </is>
      </c>
      <c r="B116" t="inlineStr">
        <is>
          <t>2026-0423-016</t>
        </is>
      </c>
      <c r="C116" t="inlineStr">
        <is>
          <t>Research</t>
        </is>
      </c>
      <c r="D116" t="inlineStr">
        <is>
          <t>Regulatory/Profile</t>
        </is>
      </c>
      <c r="E116" t="inlineStr">
        <is>
          <t>NIST AI RMF Concept Note - Trustworthy AI in Critical Infrastructure Profile (Apr 7, 2026)</t>
        </is>
      </c>
      <c r="F116" t="inlineStr">
        <is>
          <t>NIST concept note for AI RMF Profile on Trustworthy AI in Critical Infrastructure. Alongside existing GenAI Profile (AI 600-1), pending Cyber AI Profile and SP 800-53 Control Overlays for AI. Comment period open.</t>
        </is>
      </c>
      <c r="G116" t="inlineStr">
        <is>
          <t>INFO</t>
        </is>
      </c>
      <c r="H116" t="inlineStr">
        <is>
          <t>N/A - NIST</t>
        </is>
      </c>
      <c r="I116" t="inlineStr">
        <is>
          <t>N/A</t>
        </is>
      </c>
      <c r="J116" t="inlineStr">
        <is>
          <t>N/A</t>
        </is>
      </c>
      <c r="K116" t="inlineStr">
        <is>
          <t>N/A</t>
        </is>
      </c>
      <c r="L116" t="inlineStr">
        <is>
          <t>Govern</t>
        </is>
      </c>
      <c r="M116" t="inlineStr">
        <is>
          <t>PM-1,PM-9,RA-3</t>
        </is>
      </c>
      <c r="N116" t="inlineStr">
        <is>
          <t>A.5.1</t>
        </is>
      </c>
      <c r="O116" t="inlineStr">
        <is>
          <t>PM-1</t>
        </is>
      </c>
      <c r="P116" t="inlineStr">
        <is>
          <t>nist.gov/itl/ai-risk-management-framework Apr 7 2026</t>
        </is>
      </c>
      <c r="Q116" t="inlineStr">
        <is>
          <t>Submit Comments</t>
        </is>
      </c>
    </row>
    <row r="117">
      <c r="A117" t="inlineStr">
        <is>
          <t>2026-04-23</t>
        </is>
      </c>
      <c r="B117" t="inlineStr">
        <is>
          <t>2026-0423-017</t>
        </is>
      </c>
      <c r="C117" t="inlineStr">
        <is>
          <t>Research</t>
        </is>
      </c>
      <c r="D117" t="inlineStr">
        <is>
          <t>Implementation Guide</t>
        </is>
      </c>
      <c r="E117" t="inlineStr">
        <is>
          <t>Microsoft Copilot Studio ASI Implementation Guide - Pattern for CSI Alignment</t>
        </is>
      </c>
      <c r="F117" t="inlineStr">
        <is>
          <t>Microsoft Security Blog Mar 30 2026: comprehensive walkthrough of how Copilot Studio addresses each OWASP ASI 2026 risk. Template for mapping agent platforms against ASI and demonstrating CSI 'Deploying AI Systems Securely' alignment.</t>
        </is>
      </c>
      <c r="G117" t="inlineStr">
        <is>
          <t>INFO</t>
        </is>
      </c>
      <c r="H117" t="inlineStr">
        <is>
          <t>N/A - Vendor</t>
        </is>
      </c>
      <c r="I117" t="inlineStr">
        <is>
          <t>N/A</t>
        </is>
      </c>
      <c r="J117" t="inlineStr">
        <is>
          <t>N/A</t>
        </is>
      </c>
      <c r="K117" t="inlineStr">
        <is>
          <t>N/A</t>
        </is>
      </c>
      <c r="L117" t="inlineStr">
        <is>
          <t>Govern/Map</t>
        </is>
      </c>
      <c r="M117" t="inlineStr">
        <is>
          <t>SA-11,CM-3,AC-3</t>
        </is>
      </c>
      <c r="N117" t="inlineStr">
        <is>
          <t>A.14.2.5</t>
        </is>
      </c>
      <c r="O117" t="inlineStr">
        <is>
          <t>SA-11</t>
        </is>
      </c>
      <c r="P117" t="inlineStr">
        <is>
          <t>Microsoft Security Blog Mar 30 2026</t>
        </is>
      </c>
      <c r="Q117" t="inlineStr">
        <is>
          <t>Reference Architecture</t>
        </is>
      </c>
    </row>
    <row r="118">
      <c r="A118" t="inlineStr">
        <is>
          <t>2026-04-24</t>
        </is>
      </c>
      <c r="B118" t="inlineStr">
        <is>
          <t>2026-0424-001</t>
        </is>
      </c>
      <c r="C118" t="inlineStr">
        <is>
          <t>AI/LLM Threat</t>
        </is>
      </c>
      <c r="D118" t="inlineStr">
        <is>
          <t>AI-Weaponized Intrusion</t>
        </is>
      </c>
      <c r="E118" t="inlineStr">
        <is>
          <t>Claude Code + GPT-4.1 Weaponized Against Mexican Government - 195M Records / 150GB Exfiltrated</t>
        </is>
      </c>
      <c r="F118" t="inlineStr">
        <is>
          <t>Public reporting (Apr 11-22, 2026) confirms a single actor used Claude Code and GPT-4.1 extensively - planning and execution - to breach nine Mexican government agencies between Dec 2025 and mid-Feb 2026. ~75% of RCE activity during the campaign was generated and executed by Claude Code. Exfiltration: ~150 GB including civil registry, tax, and voter data - roughly 195 million identities. A 17,550-line Python harness piped harvested server data through the OpenAI API; over 1,000 prompts were sent to Claude Code to orchestrate the attacks.</t>
        </is>
      </c>
      <c r="G118" t="inlineStr">
        <is>
          <t>CRITICAL</t>
        </is>
      </c>
      <c r="H118" t="inlineStr">
        <is>
          <t>Single actor - unattributed (state-scale outcome)</t>
        </is>
      </c>
      <c r="I118" t="inlineStr">
        <is>
          <t>LLM Application + Toolchain</t>
        </is>
      </c>
      <c r="J118" t="inlineStr">
        <is>
          <t>Operation</t>
        </is>
      </c>
      <c r="K118" t="inlineStr">
        <is>
          <t>Security + Privacy Risk</t>
        </is>
      </c>
      <c r="L118" t="inlineStr">
        <is>
          <t>Manage / Measure</t>
        </is>
      </c>
      <c r="M118" t="inlineStr">
        <is>
          <t>AC-3, AC-6, AU-12, IA-5, IR-4, SI-4</t>
        </is>
      </c>
      <c r="N118" t="inlineStr">
        <is>
          <t>A.9.2, A.9.4, A.12.4, A.16.1</t>
        </is>
      </c>
      <c r="O118" t="inlineStr">
        <is>
          <t>AC-3</t>
        </is>
      </c>
      <c r="P118" t="inlineStr">
        <is>
          <t>TechRadar, SecurityWeek, hackread.com Apr 11-22 2026</t>
        </is>
      </c>
      <c r="Q118" t="inlineStr">
        <is>
          <t>Escalate</t>
        </is>
      </c>
    </row>
    <row r="119">
      <c r="A119" t="inlineStr">
        <is>
          <t>2026-04-24</t>
        </is>
      </c>
      <c r="B119" t="inlineStr">
        <is>
          <t>2026-0424-002</t>
        </is>
      </c>
      <c r="C119" t="inlineStr">
        <is>
          <t>AI/LLM Threat</t>
        </is>
      </c>
      <c r="D119" t="inlineStr">
        <is>
          <t>Prompt Injection -&gt; RCE</t>
        </is>
      </c>
      <c r="E119" t="inlineStr">
        <is>
          <t>Google Antigravity Prompt-Injection-to-RCE - find_by_name Pattern Flag Injection Escapes Sandbox</t>
        </is>
      </c>
      <c r="F119" t="inlineStr">
        <is>
          <t>Pillar Security disclosed (Apr 2026, Google fix Feb 28) a prompt-injection chain that turns Antigravity's find_by_name tool into RCE. The Pattern parameter is interpolated into fd without sanitization, so any string starting with '-' is parsed as a CLI flag. Because find_by_name is classified as a NATIVE tool, its invocation executes before Secure Mode's command-level restrictions are evaluated - the security boundary never sees it. Reachable via indirect prompt injection: a benign source file pulled from a public repo can carry attacker-controlled comments that instruct the agent to stage and trigger the exploit. Canonical ASI02 / ASI05 example for 2026.</t>
        </is>
      </c>
      <c r="G119" t="inlineStr">
        <is>
          <t>CRITICAL</t>
        </is>
      </c>
      <c r="H119" t="inlineStr">
        <is>
          <t>Pillar Security (PoC) + opportunistic risk</t>
        </is>
      </c>
      <c r="I119" t="inlineStr">
        <is>
          <t>Agentic IDE / Toolchain</t>
        </is>
      </c>
      <c r="J119" t="inlineStr">
        <is>
          <t>Deployment</t>
        </is>
      </c>
      <c r="K119" t="inlineStr">
        <is>
          <t>Security Risk</t>
        </is>
      </c>
      <c r="L119" t="inlineStr">
        <is>
          <t>Manage / Measure</t>
        </is>
      </c>
      <c r="M119" t="inlineStr">
        <is>
          <t>SI-10, SA-11, AC-6, CM-7</t>
        </is>
      </c>
      <c r="N119" t="inlineStr">
        <is>
          <t>A.14.2.5, A.14.2.1</t>
        </is>
      </c>
      <c r="O119" t="inlineStr">
        <is>
          <t>SI-10</t>
        </is>
      </c>
      <c r="P119" t="inlineStr">
        <is>
          <t>Pillar Security blog, Dark Reading, CyberScoop, CSO Online Apr 2026</t>
        </is>
      </c>
      <c r="Q119" t="inlineStr">
        <is>
          <t>Escalate</t>
        </is>
      </c>
    </row>
    <row r="120">
      <c r="A120" t="inlineStr">
        <is>
          <t>2026-04-24</t>
        </is>
      </c>
      <c r="B120" t="inlineStr">
        <is>
          <t>2026-0424-003</t>
        </is>
      </c>
      <c r="C120" t="inlineStr">
        <is>
          <t>AI/LLM Threat</t>
        </is>
      </c>
      <c r="D120" t="inlineStr">
        <is>
          <t>Inference Engine RCE</t>
        </is>
      </c>
      <c r="E120" t="inlineStr">
        <is>
          <t>CVE-2026-22778 - vLLM RCE via Malicious Video URL (Unauthenticated Chain)</t>
        </is>
      </c>
      <c r="F120" t="inlineStr">
        <is>
          <t>Orca and OX Security coverage (Apr 2026): unauthenticated RCE in vLLM via a specially crafted video URL to a multimodal endpoint. Chain of two: (1) PIL error paths leak the memory address of a BytesIO object directly to the caller, exposing a heap address; (2) OpenCV's FFmpeg JPEG2000 decoder honors a 'cdef' color-channel-remap box that triggers a heap overflow. Patched in vLLM 0.14.1. Millions of exposed vLLM endpoints are in scope because vLLM is the default inference runtime for a very large share of self-hosted deployments.</t>
        </is>
      </c>
      <c r="G120" t="inlineStr">
        <is>
          <t>CRITICAL</t>
        </is>
      </c>
      <c r="H120" t="inlineStr">
        <is>
          <t>Unknown / opportunistic</t>
        </is>
      </c>
      <c r="I120" t="inlineStr">
        <is>
          <t>Platform (Inference Engine)</t>
        </is>
      </c>
      <c r="J120" t="inlineStr">
        <is>
          <t>Deployment</t>
        </is>
      </c>
      <c r="K120" t="inlineStr">
        <is>
          <t>Security Risk</t>
        </is>
      </c>
      <c r="L120" t="inlineStr">
        <is>
          <t>Manage</t>
        </is>
      </c>
      <c r="M120" t="inlineStr">
        <is>
          <t>SI-2, SI-5, SC-7, SA-11</t>
        </is>
      </c>
      <c r="N120" t="inlineStr">
        <is>
          <t>A.12.6.1, A.14.2.5</t>
        </is>
      </c>
      <c r="O120" t="inlineStr">
        <is>
          <t>SI-2</t>
        </is>
      </c>
      <c r="P120" t="inlineStr">
        <is>
          <t>Orca Security, OX Security, eSecurity Planet, Salt Security Apr 2026</t>
        </is>
      </c>
      <c r="Q120" t="inlineStr">
        <is>
          <t>Escalate</t>
        </is>
      </c>
    </row>
    <row r="121">
      <c r="A121" t="inlineStr">
        <is>
          <t>2026-04-24</t>
        </is>
      </c>
      <c r="B121" t="inlineStr">
        <is>
          <t>2026-0424-004</t>
        </is>
      </c>
      <c r="C121" t="inlineStr">
        <is>
          <t>AI/LLM Threat</t>
        </is>
      </c>
      <c r="D121" t="inlineStr">
        <is>
          <t>Model Load Code Injection</t>
        </is>
      </c>
      <c r="E121" t="inlineStr">
        <is>
          <t>CVE-2026-22807 - vLLM auto_map Code Injection at Model Load (trust_remote_code Bypass)</t>
        </is>
      </c>
      <c r="F121" t="inlineStr">
        <is>
          <t>vLLM 0.10.1 through 0.13.x loads Hugging Face auto_map dynamic modules during model resolution without properly gating on the trust_remote_code flag. Attacker-controlled Python code embedded in a model repository or local path executes automatically at server startup - before any request handling begins. Any operator who points vLLM at a Hugging Face repo controlled by or pivoted through an attacker inherits arbitrary code execution on the host. Fixed in vLLM 0.14.0. Combines cleanly with namespace-hijack and LoRA-adapter poisoning patterns now active on Hugging Face.</t>
        </is>
      </c>
      <c r="G121" t="inlineStr">
        <is>
          <t>CRITICAL</t>
        </is>
      </c>
      <c r="H121" t="inlineStr">
        <is>
          <t>Unknown / supply-chain-capable</t>
        </is>
      </c>
      <c r="I121" t="inlineStr">
        <is>
          <t>Platform + Model Repository</t>
        </is>
      </c>
      <c r="J121" t="inlineStr">
        <is>
          <t>Pre-deployment</t>
        </is>
      </c>
      <c r="K121" t="inlineStr">
        <is>
          <t>Security Risk</t>
        </is>
      </c>
      <c r="L121" t="inlineStr">
        <is>
          <t>Manage</t>
        </is>
      </c>
      <c r="M121" t="inlineStr">
        <is>
          <t>SA-12, SR-3, CM-5, SI-7</t>
        </is>
      </c>
      <c r="N121" t="inlineStr">
        <is>
          <t>A.14.2.7, A.15.1</t>
        </is>
      </c>
      <c r="O121" t="inlineStr">
        <is>
          <t>SA-12</t>
        </is>
      </c>
      <c r="P121" t="inlineStr">
        <is>
          <t>SentinelOne vulnerability database, vllm-project GHSA Apr 2026</t>
        </is>
      </c>
      <c r="Q121" t="inlineStr">
        <is>
          <t>Escalate</t>
        </is>
      </c>
    </row>
    <row r="122">
      <c r="A122" t="inlineStr">
        <is>
          <t>2026-04-24</t>
        </is>
      </c>
      <c r="B122" t="inlineStr">
        <is>
          <t>2026-0424-005</t>
        </is>
      </c>
      <c r="C122" t="inlineStr">
        <is>
          <t>AI/LLM Threat</t>
        </is>
      </c>
      <c r="D122" t="inlineStr">
        <is>
          <t>Universal Jailbreak</t>
        </is>
      </c>
      <c r="E122" t="inlineStr">
        <is>
          <t>Poetry Jailbreak - Universal Single-Shot Safety Bypass Across Frontier LLMs</t>
        </is>
      </c>
      <c r="F122" t="inlineStr">
        <is>
          <t>arXiv paper (Apr 16, 2026) demonstrates that rephrasing disallowed requests as verse serves as a universal single-shot jailbreak across multiple frontier models and safety stacks. Systems tuned to refuse prosaic attacks fail on the same intent presented in rhyme or meter, indicating a model-agnostic weakness in surface-form safety training. Low effort, no multi-turn escalation, and no white-box access required - widely reproducible within hours of the paper.</t>
        </is>
      </c>
      <c r="G122" t="inlineStr">
        <is>
          <t>HIGH</t>
        </is>
      </c>
      <c r="H122" t="inlineStr">
        <is>
          <t>N/A - Research</t>
        </is>
      </c>
      <c r="I122" t="inlineStr">
        <is>
          <t>Prompt / Model</t>
        </is>
      </c>
      <c r="J122" t="inlineStr">
        <is>
          <t>Operation</t>
        </is>
      </c>
      <c r="K122" t="inlineStr">
        <is>
          <t>Security + Integrity Risk</t>
        </is>
      </c>
      <c r="L122" t="inlineStr">
        <is>
          <t>Measure</t>
        </is>
      </c>
      <c r="M122" t="inlineStr">
        <is>
          <t>SI-10, SI-4, RA-5</t>
        </is>
      </c>
      <c r="N122" t="inlineStr">
        <is>
          <t>A.14.2.5</t>
        </is>
      </c>
      <c r="O122" t="inlineStr">
        <is>
          <t>SI-10</t>
        </is>
      </c>
      <c r="P122" t="inlineStr">
        <is>
          <t>arXiv Apr 16 2026, blockchain.news analysis</t>
        </is>
      </c>
      <c r="Q122" t="inlineStr">
        <is>
          <t>Monitor</t>
        </is>
      </c>
    </row>
    <row r="123">
      <c r="A123" t="inlineStr">
        <is>
          <t>2026-04-24</t>
        </is>
      </c>
      <c r="B123" t="inlineStr">
        <is>
          <t>2026-0424-006</t>
        </is>
      </c>
      <c r="C123" t="inlineStr">
        <is>
          <t>AI/LLM Threat</t>
        </is>
      </c>
      <c r="D123" t="inlineStr">
        <is>
          <t>Enterprise AI Chat Breach</t>
        </is>
      </c>
      <c r="E123" t="inlineStr">
        <is>
          <t>Enterprise AI Chat Exposure - 46.5M Messages / 728K Files / 3.68M RAG Chunks</t>
        </is>
      </c>
      <c r="F123" t="inlineStr">
        <is>
          <t>Wharton AI &amp; Analytics Initiative summary of two early-2026 AI exposures at a legacy retailer and a global consulting firm. One incident gave an agent access to 46.5M plaintext chat messages, 728K confidential files, 57K user accounts, 3.68M RAG document chunks, and 95 writable system prompts. Writable prompts and RAG chunks are the systemic risk - a single write-capable compromise reconditions every downstream agent. Directly instantiates ASI06 (Memory &amp; Context Poisoning) and LLM03 (Training-Data Poisoning) at production scale.</t>
        </is>
      </c>
      <c r="G123" t="inlineStr">
        <is>
          <t>HIGH</t>
        </is>
      </c>
      <c r="H123" t="inlineStr">
        <is>
          <t>Unknown (two separate incidents)</t>
        </is>
      </c>
      <c r="I123" t="inlineStr">
        <is>
          <t>Application + RAG Store</t>
        </is>
      </c>
      <c r="J123" t="inlineStr">
        <is>
          <t>Operation</t>
        </is>
      </c>
      <c r="K123" t="inlineStr">
        <is>
          <t>Privacy + Integrity Risk</t>
        </is>
      </c>
      <c r="L123" t="inlineStr">
        <is>
          <t>Manage / Measure</t>
        </is>
      </c>
      <c r="M123" t="inlineStr">
        <is>
          <t>AC-3, SI-7, SI-10, AU-9, IR-4</t>
        </is>
      </c>
      <c r="N123" t="inlineStr">
        <is>
          <t>A.9.2, A.14.1.2, A.16.1</t>
        </is>
      </c>
      <c r="O123" t="inlineStr">
        <is>
          <t>AC-3</t>
        </is>
      </c>
      <c r="P123" t="inlineStr">
        <is>
          <t>Wharton AI &amp; Analytics Initiative Apr 2026</t>
        </is>
      </c>
      <c r="Q123" t="inlineStr">
        <is>
          <t>Investigate</t>
        </is>
      </c>
    </row>
    <row r="124">
      <c r="A124" t="inlineStr">
        <is>
          <t>2026-04-24</t>
        </is>
      </c>
      <c r="B124" t="inlineStr">
        <is>
          <t>2026-0424-007</t>
        </is>
      </c>
      <c r="C124" t="inlineStr">
        <is>
          <t>AI/LLM Threat</t>
        </is>
      </c>
      <c r="D124" t="inlineStr">
        <is>
          <t>Agentic Security Tool Compromise</t>
        </is>
      </c>
      <c r="E124" t="inlineStr">
        <is>
          <t>CrowdStrike 2026 Global Threat Report - AI Security Tools Hijacked at 90+ Organizations</t>
        </is>
      </c>
      <c r="F124" t="inlineStr">
        <is>
          <t>CrowdStrike 2026 GTR: adversaries compromised AI security tools at 90+ organizations in 2025. Documented compromises targeted read-only summarization agents. The new wave is write-capable autonomous SOC agents with authority over firewall, EDR, and identity systems. Saviynt/Cybersecurity Insiders 2026 CISO report (n=235): 47% have already observed agents exhibiting unintended behavior, only 5% feel confident they could contain a compromised agent. Maps to ASI01 / ASI02 / ASI03 simultaneously.</t>
        </is>
      </c>
      <c r="G124" t="inlineStr">
        <is>
          <t>HIGH</t>
        </is>
      </c>
      <c r="H124" t="inlineStr">
        <is>
          <t>Multiple</t>
        </is>
      </c>
      <c r="I124" t="inlineStr">
        <is>
          <t>Security Platform (AI agents)</t>
        </is>
      </c>
      <c r="J124" t="inlineStr">
        <is>
          <t>Deployment</t>
        </is>
      </c>
      <c r="K124" t="inlineStr">
        <is>
          <t>Security + Governance Risk</t>
        </is>
      </c>
      <c r="L124" t="inlineStr">
        <is>
          <t>Govern / Manage</t>
        </is>
      </c>
      <c r="M124" t="inlineStr">
        <is>
          <t>AC-3, AC-6, AU-12, IR-4, CM-3, PM-16</t>
        </is>
      </c>
      <c r="N124" t="inlineStr">
        <is>
          <t>A.9.2, A.12.4, A.16.1</t>
        </is>
      </c>
      <c r="O124" t="inlineStr">
        <is>
          <t>AC-6</t>
        </is>
      </c>
      <c r="P124" t="inlineStr">
        <is>
          <t>CrowdStrike 2026 GTR, VentureBeat, BackBox.org Apr 21 2026</t>
        </is>
      </c>
      <c r="Q124" t="inlineStr">
        <is>
          <t>Escalate</t>
        </is>
      </c>
    </row>
    <row r="125">
      <c r="A125" t="inlineStr">
        <is>
          <t>2026-04-24</t>
        </is>
      </c>
      <c r="B125" t="inlineStr">
        <is>
          <t>2026-0424-008</t>
        </is>
      </c>
      <c r="C125" t="inlineStr">
        <is>
          <t>Supply Chain</t>
        </is>
      </c>
      <c r="D125" t="inlineStr">
        <is>
          <t>Package Hallucination Exploit</t>
        </is>
      </c>
      <c r="E125" t="inlineStr">
        <is>
          <t>PhantomRaven - 126 Malicious npm Packages Exploiting AI Package Hallucination</t>
        </is>
      </c>
      <c r="F125" t="inlineStr">
        <is>
          <t>Investigation disclosed 126 malicious npm packages registered against names that AI coding assistants are known to hallucinate (e.g., 'unused-imports' instead of the legitimate 'eslint-plugin-unused-imports'). Developers accept the AI suggestion, run npm install, and pull malware. Direct realization of ASI04 (Agentic Supply Chain) and an operational failure mode of LLM09 Misinformation-class outputs. Expect this pattern to replicate on PyPI, crates.io, and model/plugin registries.</t>
        </is>
      </c>
      <c r="G125" t="inlineStr">
        <is>
          <t>HIGH</t>
        </is>
      </c>
      <c r="H125" t="inlineStr">
        <is>
          <t>Unknown / multiple</t>
        </is>
      </c>
      <c r="I125" t="inlineStr">
        <is>
          <t>Third-party Libraries (npm)</t>
        </is>
      </c>
      <c r="J125" t="inlineStr">
        <is>
          <t>Distribution</t>
        </is>
      </c>
      <c r="K125" t="inlineStr">
        <is>
          <t>Security Risk</t>
        </is>
      </c>
      <c r="L125" t="inlineStr">
        <is>
          <t>Manage</t>
        </is>
      </c>
      <c r="M125" t="inlineStr">
        <is>
          <t>SA-12, SR-3, SI-7, CM-8</t>
        </is>
      </c>
      <c r="N125" t="inlineStr">
        <is>
          <t>A.14.2.7, A.15.1</t>
        </is>
      </c>
      <c r="O125" t="inlineStr">
        <is>
          <t>SA-12</t>
        </is>
      </c>
      <c r="P125" t="inlineStr">
        <is>
          <t>Industry reporting on PhantomRaven Apr 2026</t>
        </is>
      </c>
      <c r="Q125" t="inlineStr">
        <is>
          <t>Investigate</t>
        </is>
      </c>
    </row>
    <row r="126">
      <c r="A126" t="inlineStr">
        <is>
          <t>2026-04-24</t>
        </is>
      </c>
      <c r="B126" t="inlineStr">
        <is>
          <t>2026-0424-009</t>
        </is>
      </c>
      <c r="C126" t="inlineStr">
        <is>
          <t>Supply Chain</t>
        </is>
      </c>
      <c r="D126" t="inlineStr">
        <is>
          <t>MCP Impersonation</t>
        </is>
      </c>
      <c r="E126" t="inlineStr">
        <is>
          <t>Postmark Impersonation MCP Server - Silent BCC Exfiltration of Every Agent Email</t>
        </is>
      </c>
      <c r="F126" t="inlineStr">
        <is>
          <t>A package on npm impersonating Postmark's email service functioned as an email MCP server while silently BCC'ing every message sent through it to an attacker-controlled address. Any AI agent wired to this MCP for email operations unknowingly exfiltrates every outbound message. Precisely the ASI04 + ASI07 failure mode the OWASP 2026 agentic list was drafted to warn against. Illustrates why MCP server inventory, signature verification, and egress monitoring must precede agent deployment.</t>
        </is>
      </c>
      <c r="G126" t="inlineStr">
        <is>
          <t>HIGH</t>
        </is>
      </c>
      <c r="H126" t="inlineStr">
        <is>
          <t>Unknown</t>
        </is>
      </c>
      <c r="I126" t="inlineStr">
        <is>
          <t>MCP Server / Toolchain</t>
        </is>
      </c>
      <c r="J126" t="inlineStr">
        <is>
          <t>Deployment</t>
        </is>
      </c>
      <c r="K126" t="inlineStr">
        <is>
          <t>Privacy + Security Risk</t>
        </is>
      </c>
      <c r="L126" t="inlineStr">
        <is>
          <t>Manage</t>
        </is>
      </c>
      <c r="M126" t="inlineStr">
        <is>
          <t>SA-12, SR-3, SC-7, AU-12, SI-4</t>
        </is>
      </c>
      <c r="N126" t="inlineStr">
        <is>
          <t>A.13.1, A.13.2, A.15.1</t>
        </is>
      </c>
      <c r="O126" t="inlineStr">
        <is>
          <t>SA-12</t>
        </is>
      </c>
      <c r="P126" t="inlineStr">
        <is>
          <t>OWASP GenAI Security Project real-world-attacks, Bleeping Computer Apr 2026</t>
        </is>
      </c>
      <c r="Q126" t="inlineStr">
        <is>
          <t>Investigate</t>
        </is>
      </c>
    </row>
    <row r="127">
      <c r="A127" t="inlineStr">
        <is>
          <t>2026-04-24</t>
        </is>
      </c>
      <c r="B127" t="inlineStr">
        <is>
          <t>2026-0424-010</t>
        </is>
      </c>
      <c r="C127" t="inlineStr">
        <is>
          <t>Supply Chain</t>
        </is>
      </c>
      <c r="D127" t="inlineStr">
        <is>
          <t>Inference Engine SSRF</t>
        </is>
      </c>
      <c r="E127" t="inlineStr">
        <is>
          <t>CVE-2026-34753 - vLLM Batch Runner SSRF via download_bytes_from_url</t>
        </is>
      </c>
      <c r="F127" t="inlineStr">
        <is>
          <t>vLLM 0.16.0 through &lt;0.19.0: any actor able to control batch-input JSON can coerce the batch runner to issue arbitrary HTTP/HTTPS requests from the vLLM host. No URL validation, no domain restriction. Classical SSRF in a modern AI surface - enables internal network scanning, cloud-metadata endpoint access (169.254.169.254), and service enumeration from the model host. Patched in 0.19.0. Pair with CVE-2026-22778 / 22807 when prioritizing vLLM upgrades.</t>
        </is>
      </c>
      <c r="G127" t="inlineStr">
        <is>
          <t>HIGH</t>
        </is>
      </c>
      <c r="H127" t="inlineStr">
        <is>
          <t>Unknown</t>
        </is>
      </c>
      <c r="I127" t="inlineStr">
        <is>
          <t>Platform (Inference Engine)</t>
        </is>
      </c>
      <c r="J127" t="inlineStr">
        <is>
          <t>Deployment</t>
        </is>
      </c>
      <c r="K127" t="inlineStr">
        <is>
          <t>Security Risk</t>
        </is>
      </c>
      <c r="L127" t="inlineStr">
        <is>
          <t>Manage</t>
        </is>
      </c>
      <c r="M127" t="inlineStr">
        <is>
          <t>SC-7, SI-4, SI-10, RA-5</t>
        </is>
      </c>
      <c r="N127" t="inlineStr">
        <is>
          <t>A.13.1</t>
        </is>
      </c>
      <c r="O127" t="inlineStr">
        <is>
          <t>SC-7</t>
        </is>
      </c>
      <c r="P127" t="inlineStr">
        <is>
          <t>CVE Details, vllm-project GHSA Apr 2026</t>
        </is>
      </c>
      <c r="Q127" t="inlineStr">
        <is>
          <t>Escalate</t>
        </is>
      </c>
    </row>
    <row r="128">
      <c r="A128" t="inlineStr">
        <is>
          <t>2026-04-24</t>
        </is>
      </c>
      <c r="B128" t="inlineStr">
        <is>
          <t>2026-0424-011</t>
        </is>
      </c>
      <c r="C128" t="inlineStr">
        <is>
          <t>Cloud Security</t>
        </is>
      </c>
      <c r="D128" t="inlineStr">
        <is>
          <t>KEV Catalog Update</t>
        </is>
      </c>
      <c r="E128" t="inlineStr">
        <is>
          <t>CISA KEV Adds 8 Exploited Flaws - Cisco Catalyst SD-WAN Trio, April 23/May 4 Federal Deadlines</t>
        </is>
      </c>
      <c r="F128" t="inlineStr">
        <is>
          <t>CISA (Apr 20, 2026) added 8 actively exploited vulnerabilities to the KEV catalog. Three affect Cisco Catalyst SD-WAN Manager (FCEB remediation Apr 23). PaperCut NG/MF CVE-2023-27351 (CVSS 8.2) historically tied to Lace Tempest / Cl0p / LockBit. JetBrains TeamCity CVE-2024-27199 included. Remainder due May 4. Not AI-specific, but Catalyst SD-WAN and TeamCity sit directly in the delivery path of AI/ML workloads and their CI/CD.</t>
        </is>
      </c>
      <c r="G128" t="inlineStr">
        <is>
          <t>HIGH</t>
        </is>
      </c>
      <c r="H128" t="inlineStr">
        <is>
          <t>Multiple (ransomware-nexus included)</t>
        </is>
      </c>
      <c r="I128" t="inlineStr">
        <is>
          <t>Platform + Build Systems</t>
        </is>
      </c>
      <c r="J128" t="inlineStr">
        <is>
          <t>Deployment</t>
        </is>
      </c>
      <c r="K128" t="inlineStr">
        <is>
          <t>Security Risk</t>
        </is>
      </c>
      <c r="L128" t="inlineStr">
        <is>
          <t>Manage</t>
        </is>
      </c>
      <c r="M128" t="inlineStr">
        <is>
          <t>SI-2, SI-5, CM-3, RA-5</t>
        </is>
      </c>
      <c r="N128" t="inlineStr">
        <is>
          <t>A.12.6.1</t>
        </is>
      </c>
      <c r="O128" t="inlineStr">
        <is>
          <t>SI-2</t>
        </is>
      </c>
      <c r="P128" t="inlineStr">
        <is>
          <t>CISA KEV bulletin, The Hacker News, The Cyber Express Apr 21 2026</t>
        </is>
      </c>
      <c r="Q128" t="inlineStr">
        <is>
          <t>Escalate</t>
        </is>
      </c>
    </row>
    <row r="129">
      <c r="A129" t="inlineStr">
        <is>
          <t>2026-04-24</t>
        </is>
      </c>
      <c r="B129" t="inlineStr">
        <is>
          <t>2026-0424-012</t>
        </is>
      </c>
      <c r="C129" t="inlineStr">
        <is>
          <t>Cloud Security</t>
        </is>
      </c>
      <c r="D129" t="inlineStr">
        <is>
          <t>Patch Tuesday</t>
        </is>
      </c>
      <c r="E129" t="inlineStr">
        <is>
          <t>Microsoft April 2026 Patch Tuesday - 160+ Fixes Including 2 Zero-Days</t>
        </is>
      </c>
      <c r="F129" t="inlineStr">
        <is>
          <t>Microsoft April 2026 cumulative update covers 160+ vulnerabilities, two publicly exploited as zero-days at release. Prioritize patching domain controllers, Exchange, and Entra-ID-joined endpoints hosting Copilot Studio / Copilot agents, since those paths are the enterprise surface now accelerating ASI03 (Identity &amp; Privilege Abuse) risk. Coordinate with AI endpoint operators before rolling, as Defender-side mitigations may temporarily interfere with embedded agent tooling.</t>
        </is>
      </c>
      <c r="G129" t="inlineStr">
        <is>
          <t>MEDIUM</t>
        </is>
      </c>
      <c r="H129" t="inlineStr">
        <is>
          <t>Multiple (zero-day set)</t>
        </is>
      </c>
      <c r="I129" t="inlineStr">
        <is>
          <t>Platform (Endpoint + Server)</t>
        </is>
      </c>
      <c r="J129" t="inlineStr">
        <is>
          <t>Deployment</t>
        </is>
      </c>
      <c r="K129" t="inlineStr">
        <is>
          <t>Security Risk</t>
        </is>
      </c>
      <c r="L129" t="inlineStr">
        <is>
          <t>Manage</t>
        </is>
      </c>
      <c r="M129" t="inlineStr">
        <is>
          <t>SI-2, SI-5, CM-3</t>
        </is>
      </c>
      <c r="N129" t="inlineStr">
        <is>
          <t>A.12.6.1</t>
        </is>
      </c>
      <c r="O129" t="inlineStr">
        <is>
          <t>SI-2</t>
        </is>
      </c>
      <c r="P129" t="inlineStr">
        <is>
          <t>Microsoft Security Response Center, LinkedIn Pulse Apr 2026</t>
        </is>
      </c>
      <c r="Q129" t="inlineStr">
        <is>
          <t>Monitor</t>
        </is>
      </c>
    </row>
    <row r="130">
      <c r="A130" t="inlineStr">
        <is>
          <t>2026-04-24</t>
        </is>
      </c>
      <c r="B130" t="inlineStr">
        <is>
          <t>2026-0424-013</t>
        </is>
      </c>
      <c r="C130" t="inlineStr">
        <is>
          <t>General Cyber</t>
        </is>
      </c>
      <c r="D130" t="inlineStr">
        <is>
          <t>Deepfake / Voice Cloning</t>
        </is>
      </c>
      <c r="E130" t="inlineStr">
        <is>
          <t>AI Voice-Clone Scam Wave - 1-in-10 Americans Affected, Congressional Hearings Open</t>
        </is>
      </c>
      <c r="F130" t="inlineStr">
        <is>
          <t>April 2026 investigative reporting: 1 in 10 Americans report being targeted by an AI voice-clone scam. Synthetic celebrity and influencer ads running as paid placements on Facebook, Instagram, TikTok, YouTube endorsing investment, crypto, or health products. Senate Commerce and House Energy &amp; Commerce committees opened hearings on AI-voice fraud. Enterprise data points: Arup $25.6M single-call loss; banks average $600K per incident, 23% lose &gt;$1M. Map KYC + social-engineering playbooks to ATLAS AML.T0050 (Deepfakes) and iProov case-study patterns.</t>
        </is>
      </c>
      <c r="G130" t="inlineStr">
        <is>
          <t>MEDIUM</t>
        </is>
      </c>
      <c r="H130" t="inlineStr">
        <is>
          <t>Financially motivated, multiple</t>
        </is>
      </c>
      <c r="I130" t="inlineStr">
        <is>
          <t>Application (social channels)</t>
        </is>
      </c>
      <c r="J130" t="inlineStr">
        <is>
          <t>Operation</t>
        </is>
      </c>
      <c r="K130" t="inlineStr">
        <is>
          <t>Fraud + Reputation Risk</t>
        </is>
      </c>
      <c r="L130" t="inlineStr">
        <is>
          <t>Govern / Measure</t>
        </is>
      </c>
      <c r="M130" t="inlineStr">
        <is>
          <t>AT-2, IA-5, RA-3, PM-16</t>
        </is>
      </c>
      <c r="N130" t="inlineStr">
        <is>
          <t>A.7.2, A.16.1</t>
        </is>
      </c>
      <c r="O130" t="inlineStr">
        <is>
          <t>AT-2</t>
        </is>
      </c>
      <c r="P130" t="inlineStr">
        <is>
          <t>InvestigateTV, ScamWatchHQ, UN News Apr 2026</t>
        </is>
      </c>
      <c r="Q130" t="inlineStr">
        <is>
          <t>Monitor</t>
        </is>
      </c>
    </row>
    <row r="131">
      <c r="A131" t="inlineStr">
        <is>
          <t>2026-04-24</t>
        </is>
      </c>
      <c r="B131" t="inlineStr">
        <is>
          <t>2026-0424-014</t>
        </is>
      </c>
      <c r="C131" t="inlineStr">
        <is>
          <t>Research</t>
        </is>
      </c>
      <c r="D131" t="inlineStr">
        <is>
          <t>Vendor Capability</t>
        </is>
      </c>
      <c r="E131" t="inlineStr">
        <is>
          <t>IBM Announces Agentic Attack Defense Measures (Apr 15, 2026)</t>
        </is>
      </c>
      <c r="F131" t="inlineStr">
        <is>
          <t>IBM (Apr 15, 2026) announced a security portfolio update aimed at agentic attacks: runtime telemetry for agent tool invocations, identity-bearing agent models (separate, auditable identities per agent), and integration with existing SIEM/SOAR. Signals mainstream recognition that the Saviynt finding - only 5% of CISOs feel confident they can contain a compromised agent - is a buyer-side problem vendors are actively closing. Complements the Microsoft Copilot Studio ASI guide and NeuralTrust / Teleport / Giskard implementation patterns.</t>
        </is>
      </c>
      <c r="G131" t="inlineStr">
        <is>
          <t>INFO</t>
        </is>
      </c>
      <c r="H131" t="inlineStr">
        <is>
          <t>N/A - Vendor</t>
        </is>
      </c>
      <c r="I131" t="inlineStr">
        <is>
          <t>N/A</t>
        </is>
      </c>
      <c r="J131" t="inlineStr">
        <is>
          <t>N/A</t>
        </is>
      </c>
      <c r="K131" t="inlineStr">
        <is>
          <t>N/A</t>
        </is>
      </c>
      <c r="L131" t="inlineStr">
        <is>
          <t>Govern / Manage</t>
        </is>
      </c>
      <c r="M131" t="inlineStr">
        <is>
          <t>PM-16, SA-11, CA-8</t>
        </is>
      </c>
      <c r="N131" t="inlineStr">
        <is>
          <t>A.5.1, A.18.2</t>
        </is>
      </c>
      <c r="O131" t="inlineStr">
        <is>
          <t>PM-16</t>
        </is>
      </c>
      <c r="P131" t="inlineStr">
        <is>
          <t>IBM Newsroom Apr 15 2026</t>
        </is>
      </c>
      <c r="Q131" t="inlineStr">
        <is>
          <t>Monitor</t>
        </is>
      </c>
    </row>
    <row r="132">
      <c r="A132" t="inlineStr">
        <is>
          <t>2026-04-24</t>
        </is>
      </c>
      <c r="B132" t="inlineStr">
        <is>
          <t>2026-0424-015</t>
        </is>
      </c>
      <c r="C132" t="inlineStr">
        <is>
          <t>Research</t>
        </is>
      </c>
      <c r="D132" t="inlineStr">
        <is>
          <t>Framework Update</t>
        </is>
      </c>
      <c r="E132" t="inlineStr">
        <is>
          <t>MITRE ATLAS AI Service API Technique (AML.T0096) - SesameOp Case Study Promoted</t>
        </is>
      </c>
      <c r="F132" t="inlineStr">
        <is>
          <t>ATLAS continues consolidating the agentic expansion: SesameOp (AML.CS0042) - the OpenAI Assistants API used as a covert C2 channel - now anchors the AI Service API technique (AML.T0096). Significance: legitimate agent APIs double as blend-in command-and-control fabric, evading network-detection that keys on IP/domain reputation. Detection guidance: watch for unexpected egress to agent-platform APIs from non-developer workloads; log request sizes, frequency, and role/tool tuples; cross-reference with identity anomalies.</t>
        </is>
      </c>
      <c r="G132" t="inlineStr">
        <is>
          <t>INFO</t>
        </is>
      </c>
      <c r="H132" t="inlineStr">
        <is>
          <t>N/A - Framework</t>
        </is>
      </c>
      <c r="I132" t="inlineStr">
        <is>
          <t>N/A</t>
        </is>
      </c>
      <c r="J132" t="inlineStr">
        <is>
          <t>N/A</t>
        </is>
      </c>
      <c r="K132" t="inlineStr">
        <is>
          <t>N/A</t>
        </is>
      </c>
      <c r="L132" t="inlineStr">
        <is>
          <t>Map / Measure</t>
        </is>
      </c>
      <c r="M132" t="inlineStr">
        <is>
          <t>CA-8, PM-16, RA-3, SI-4</t>
        </is>
      </c>
      <c r="N132" t="inlineStr">
        <is>
          <t>A.18.2</t>
        </is>
      </c>
      <c r="O132" t="inlineStr">
        <is>
          <t>CA-8</t>
        </is>
      </c>
      <c r="P132" t="inlineStr">
        <is>
          <t>atlas.mitre.org, Zenity blog 2026</t>
        </is>
      </c>
      <c r="Q132" t="inlineStr">
        <is>
          <t>Monitor</t>
        </is>
      </c>
    </row>
    <row r="133">
      <c r="A133" t="inlineStr">
        <is>
          <t>2026-04-24</t>
        </is>
      </c>
      <c r="B133" t="inlineStr">
        <is>
          <t>2026-0424-016</t>
        </is>
      </c>
      <c r="C133" t="inlineStr">
        <is>
          <t>Research</t>
        </is>
      </c>
      <c r="D133" t="inlineStr">
        <is>
          <t>Regulatory / Profile</t>
        </is>
      </c>
      <c r="E133" t="inlineStr">
        <is>
          <t>NIST SP 800-53 COSAiS Control Overlays for AI - Q3 2026 Draft Window</t>
        </is>
      </c>
      <c r="F133" t="inlineStr">
        <is>
          <t>NIST Control Overlays for Securing AI Systems (COSAiS): draft annotated outline released Jan 2026, full draft series expected Q3 2026. Five initial use cases: generative AI / LLMs, predictive AI for business analytics, single-agent AI, multi-agent AI, and agent-orchestrated workflows. Intended to sit alongside the April 7 AI RMF Critical Infrastructure concept note. Regulated-sector operators should align control families now so the forthcoming overlays map cleanly onto existing SSPs.</t>
        </is>
      </c>
      <c r="G133" t="inlineStr">
        <is>
          <t>INFO</t>
        </is>
      </c>
      <c r="H133" t="inlineStr">
        <is>
          <t>N/A - NIST</t>
        </is>
      </c>
      <c r="I133" t="inlineStr">
        <is>
          <t>N/A</t>
        </is>
      </c>
      <c r="J133" t="inlineStr">
        <is>
          <t>N/A</t>
        </is>
      </c>
      <c r="K133" t="inlineStr">
        <is>
          <t>N/A</t>
        </is>
      </c>
      <c r="L133" t="inlineStr">
        <is>
          <t>Govern</t>
        </is>
      </c>
      <c r="M133" t="inlineStr">
        <is>
          <t>PM-1, PM-9, SA-8, SA-11</t>
        </is>
      </c>
      <c r="N133" t="inlineStr">
        <is>
          <t>A.5.1, A.18.1</t>
        </is>
      </c>
      <c r="O133" t="inlineStr">
        <is>
          <t>PM-1</t>
        </is>
      </c>
      <c r="P133" t="inlineStr">
        <is>
          <t>csrc.nist.gov/Projects/cosais, Telos Xacta blog Apr 7 2026</t>
        </is>
      </c>
      <c r="Q133" t="inlineStr">
        <is>
          <t>Submit Comments</t>
        </is>
      </c>
    </row>
    <row r="134">
      <c r="A134" t="inlineStr">
        <is>
          <t>2026-04-24</t>
        </is>
      </c>
      <c r="B134" t="inlineStr">
        <is>
          <t>2026-0424-017</t>
        </is>
      </c>
      <c r="C134" t="inlineStr">
        <is>
          <t>Research</t>
        </is>
      </c>
      <c r="D134" t="inlineStr">
        <is>
          <t>Vendor Security Advisory</t>
        </is>
      </c>
      <c r="E134" t="inlineStr">
        <is>
          <t>LiteLLM Security Hardening - CVE-2026-30623 Fixed in v1.83.6-nightly / v1.83.7-stable</t>
        </is>
      </c>
      <c r="F134" t="inlineStr">
        <is>
          <t>LiteLLM docs security advisory (Apr 2026): CVE-2026-30623 (authenticated RCE via Anthropic MCP STDIO) is fixed in v1.83.6-nightly and v1.83.7-stable. Recommended path: upgrade, then migrate MCP transport to SSE/HTTP where feasible. This closes the specific downstream manifestation of the OX Security systemic MCP finding for LiteLLM operators; it does not alter the protocol-level exposure Anthropic declined to change. Pair with today's MCP-impersonation and PhantomRaven findings as a coherent supply-chain control story.</t>
        </is>
      </c>
      <c r="G134" t="inlineStr">
        <is>
          <t>INFO</t>
        </is>
      </c>
      <c r="H134" t="inlineStr">
        <is>
          <t>N/A - Vendor</t>
        </is>
      </c>
      <c r="I134" t="inlineStr">
        <is>
          <t>Toolchain</t>
        </is>
      </c>
      <c r="J134" t="inlineStr">
        <is>
          <t>Deployment</t>
        </is>
      </c>
      <c r="K134" t="inlineStr">
        <is>
          <t>Security Risk</t>
        </is>
      </c>
      <c r="L134" t="inlineStr">
        <is>
          <t>Manage</t>
        </is>
      </c>
      <c r="M134" t="inlineStr">
        <is>
          <t>SI-2, SA-11, CM-3</t>
        </is>
      </c>
      <c r="N134" t="inlineStr">
        <is>
          <t>A.14.2.5</t>
        </is>
      </c>
      <c r="O134" t="inlineStr">
        <is>
          <t>SI-2</t>
        </is>
      </c>
      <c r="P134" t="inlineStr">
        <is>
          <t>docs.litellm.ai/blog/mcp-stdio-command-injection-april-2026</t>
        </is>
      </c>
      <c r="Q134" t="inlineStr">
        <is>
          <t>Monitor</t>
        </is>
      </c>
    </row>
  </sheetData>
  <dataValidations count="4">
    <dataValidation sqref="C2:C16" showDropDown="0" showInputMessage="0" showErrorMessage="0" allowBlank="0" type="list">
      <formula1>"AI/LLM Threat,Supply Chain,Cloud Security,General Cyber,Research,Red Teaming"</formula1>
      <formula2>0</formula2>
    </dataValidation>
    <dataValidation sqref="D2:D16" showDropDown="0" showInputMessage="0" showErrorMessage="0" allowBlank="0" type="list">
      <formula1>"Prompt Injection,Model Poisoning,RAG Poisoning,Backdoor Attack,Data Leakage,Zero-Day,Ransomware,Social Engineering,Misconfiguration,DDoS,Insider Threat,Third-Party Risk,Credential Attack,MCP Vulnerability,Agent Security,Other"</formula1>
      <formula2>0</formula2>
    </dataValidation>
    <dataValidation sqref="G2:G16" showDropDown="0" showInputMessage="0" showErrorMessage="0" allowBlank="0" type="list">
      <formula1>"CRITICAL,HIGH,MEDIUM,LOW,INFO"</formula1>
      <formula2>0</formula2>
    </dataValidation>
    <dataValidation sqref="Q2:Q16" showDropDown="0" showInputMessage="0" showErrorMessage="0" allowBlank="0" type="list">
      <formula1>"Investigate,Monitor,Escalate,Dismiss,N/A"</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J134"/>
  <sheetViews>
    <sheetView tabSelected="1" zoomScaleNormal="100" workbookViewId="0">
      <pane ySplit="1" topLeftCell="A2" activePane="bottomLeft" state="frozen"/>
      <selection pane="bottomLeft" activeCell="D2" sqref="D2"/>
    </sheetView>
  </sheetViews>
  <sheetFormatPr baseColWidth="8" defaultColWidth="8.6328125" defaultRowHeight="14.5"/>
  <cols>
    <col width="12" customWidth="1" min="1" max="1"/>
    <col width="15" customWidth="1" min="2" max="2"/>
    <col width="35" customWidth="1" min="3" max="3"/>
    <col width="18" customWidth="1" min="4" max="5"/>
    <col width="20" customWidth="1" min="6" max="6"/>
    <col width="12" customWidth="1" min="7" max="7"/>
    <col width="20" customWidth="1" min="8" max="9"/>
    <col width="15" customWidth="1" min="10" max="10"/>
  </cols>
  <sheetData>
    <row r="1">
      <c r="A1" s="2" t="inlineStr">
        <is>
          <t>Date</t>
        </is>
      </c>
      <c r="B1" s="2" t="inlineStr">
        <is>
          <t>Item ID</t>
        </is>
      </c>
      <c r="C1" s="2" t="inlineStr">
        <is>
          <t>Threat/Item Title</t>
        </is>
      </c>
      <c r="D1" s="2" t="inlineStr">
        <is>
          <t>AI RMF Function</t>
        </is>
      </c>
      <c r="E1" s="2" t="inlineStr">
        <is>
          <t>AI RMF Category</t>
        </is>
      </c>
      <c r="F1" s="2" t="inlineStr">
        <is>
          <t>AI RMF Subcategory</t>
        </is>
      </c>
      <c r="G1" s="2" t="inlineStr">
        <is>
          <t>Risk Level</t>
        </is>
      </c>
      <c r="H1" s="2" t="inlineStr">
        <is>
          <t>Applicability Notes</t>
        </is>
      </c>
      <c r="I1" s="2" t="inlineStr">
        <is>
          <t>Suggested Action</t>
        </is>
      </c>
      <c r="J1" s="2" t="inlineStr">
        <is>
          <t>Status</t>
        </is>
      </c>
    </row>
    <row r="2">
      <c r="A2" t="inlineStr">
        <is>
          <t>2026-04-07</t>
        </is>
      </c>
      <c r="B2" t="inlineStr">
        <is>
          <t>2026-0407-001</t>
        </is>
      </c>
      <c r="C2" t="inlineStr">
        <is>
          <t>OpenClaw AI Agent Framework Compromise</t>
        </is>
      </c>
      <c r="D2" t="inlineStr">
        <is>
          <t>Map</t>
        </is>
      </c>
      <c r="G2" t="inlineStr">
        <is>
          <t>CRITICAL</t>
        </is>
      </c>
      <c r="J2" t="inlineStr">
        <is>
          <t>Open</t>
        </is>
      </c>
    </row>
    <row r="3">
      <c r="A3" t="inlineStr">
        <is>
          <t>2026-04-07</t>
        </is>
      </c>
      <c r="B3" t="inlineStr">
        <is>
          <t>2026-0407-002</t>
        </is>
      </c>
      <c r="C3" t="inlineStr">
        <is>
          <t>LiteLLM CI Pipeline Backdoor</t>
        </is>
      </c>
      <c r="D3" t="inlineStr">
        <is>
          <t>Manage</t>
        </is>
      </c>
      <c r="G3" t="inlineStr">
        <is>
          <t>CRITICAL</t>
        </is>
      </c>
      <c r="J3" t="inlineStr">
        <is>
          <t>Open</t>
        </is>
      </c>
    </row>
    <row r="4">
      <c r="A4" t="inlineStr">
        <is>
          <t>2026-04-07</t>
        </is>
      </c>
      <c r="B4" t="inlineStr">
        <is>
          <t>2026-0407-003</t>
        </is>
      </c>
      <c r="C4" t="inlineStr">
        <is>
          <t>Langflow Zero-Auth Compromise</t>
        </is>
      </c>
      <c r="D4" t="inlineStr">
        <is>
          <t>Map</t>
        </is>
      </c>
      <c r="G4" t="inlineStr">
        <is>
          <t>HIGH</t>
        </is>
      </c>
      <c r="J4" t="inlineStr">
        <is>
          <t>Open</t>
        </is>
      </c>
    </row>
    <row r="5">
      <c r="A5" t="inlineStr">
        <is>
          <t>2026-04-07</t>
        </is>
      </c>
      <c r="B5" t="inlineStr">
        <is>
          <t>2026-0407-004</t>
        </is>
      </c>
      <c r="C5" t="inlineStr">
        <is>
          <t>Prompt Injection 73% Production Rate</t>
        </is>
      </c>
      <c r="D5" t="inlineStr">
        <is>
          <t>Measure</t>
        </is>
      </c>
      <c r="G5" t="inlineStr">
        <is>
          <t>HIGH</t>
        </is>
      </c>
      <c r="J5" t="inlineStr">
        <is>
          <t>Open</t>
        </is>
      </c>
    </row>
    <row r="6">
      <c r="A6" t="inlineStr">
        <is>
          <t>2026-04-07</t>
        </is>
      </c>
      <c r="B6" t="inlineStr">
        <is>
          <t>2026-0407-005</t>
        </is>
      </c>
      <c r="C6" t="inlineStr">
        <is>
          <t>MCP Security Vulnerabilities</t>
        </is>
      </c>
      <c r="D6" t="inlineStr">
        <is>
          <t>Map</t>
        </is>
      </c>
      <c r="G6" t="inlineStr">
        <is>
          <t>HIGH</t>
        </is>
      </c>
      <c r="J6" t="inlineStr">
        <is>
          <t>Open</t>
        </is>
      </c>
    </row>
    <row r="7">
      <c r="A7" t="inlineStr">
        <is>
          <t>2026-04-07</t>
        </is>
      </c>
      <c r="B7" t="inlineStr">
        <is>
          <t>2026-0407-006</t>
        </is>
      </c>
      <c r="C7" t="inlineStr">
        <is>
          <t>RAG Poisoning Attacks</t>
        </is>
      </c>
      <c r="D7" t="inlineStr">
        <is>
          <t>Measure</t>
        </is>
      </c>
      <c r="G7" t="inlineStr">
        <is>
          <t>MEDIUM</t>
        </is>
      </c>
      <c r="J7" t="inlineStr">
        <is>
          <t>Open</t>
        </is>
      </c>
    </row>
    <row r="8">
      <c r="A8" t="inlineStr">
        <is>
          <t>2026-04-07</t>
        </is>
      </c>
      <c r="B8" t="inlineStr">
        <is>
          <t>2026-0407-007</t>
        </is>
      </c>
      <c r="C8" t="inlineStr">
        <is>
          <t>Drift Protocol $285M Theft (DPRK)</t>
        </is>
      </c>
      <c r="D8" t="inlineStr">
        <is>
          <t>Manage</t>
        </is>
      </c>
      <c r="G8" t="inlineStr">
        <is>
          <t>CRITICAL</t>
        </is>
      </c>
      <c r="J8" t="inlineStr">
        <is>
          <t>Open</t>
        </is>
      </c>
    </row>
    <row r="9">
      <c r="A9" t="inlineStr">
        <is>
          <t>2026-04-07</t>
        </is>
      </c>
      <c r="B9" t="inlineStr">
        <is>
          <t>2026-0407-008</t>
        </is>
      </c>
      <c r="C9" t="inlineStr">
        <is>
          <t>Snowflake Mass Breach</t>
        </is>
      </c>
      <c r="D9" t="inlineStr">
        <is>
          <t>Manage</t>
        </is>
      </c>
      <c r="G9" t="inlineStr">
        <is>
          <t>CRITICAL</t>
        </is>
      </c>
      <c r="J9" t="inlineStr">
        <is>
          <t>Open</t>
        </is>
      </c>
    </row>
    <row r="10">
      <c r="A10" t="inlineStr">
        <is>
          <t>2026-04-07</t>
        </is>
      </c>
      <c r="B10" t="inlineStr">
        <is>
          <t>2026-0407-009</t>
        </is>
      </c>
      <c r="C10" t="inlineStr">
        <is>
          <t>Fortinet FortiClient EMS Zero-Day</t>
        </is>
      </c>
      <c r="D10" t="inlineStr">
        <is>
          <t>Manage</t>
        </is>
      </c>
      <c r="G10" t="inlineStr">
        <is>
          <t>CRITICAL</t>
        </is>
      </c>
      <c r="J10" t="inlineStr">
        <is>
          <t>Open</t>
        </is>
      </c>
    </row>
    <row r="11">
      <c r="A11" t="inlineStr">
        <is>
          <t>2026-04-07</t>
        </is>
      </c>
      <c r="B11" t="inlineStr">
        <is>
          <t>2026-0407-010</t>
        </is>
      </c>
      <c r="C11" t="inlineStr">
        <is>
          <t>97% Cloud-Native Incidents (Red Hat)</t>
        </is>
      </c>
      <c r="D11" t="inlineStr">
        <is>
          <t>Govern</t>
        </is>
      </c>
      <c r="G11" t="inlineStr">
        <is>
          <t>HIGH</t>
        </is>
      </c>
      <c r="J11" t="inlineStr">
        <is>
          <t>Open</t>
        </is>
      </c>
    </row>
    <row r="12">
      <c r="A12" t="inlineStr">
        <is>
          <t>2026-04-07</t>
        </is>
      </c>
      <c r="B12" t="inlineStr">
        <is>
          <t>2026-0407-011</t>
        </is>
      </c>
      <c r="C12" t="inlineStr">
        <is>
          <t>Iran Password Spraying M365</t>
        </is>
      </c>
      <c r="D12" t="inlineStr">
        <is>
          <t>Manage</t>
        </is>
      </c>
      <c r="G12" t="inlineStr">
        <is>
          <t>HIGH</t>
        </is>
      </c>
      <c r="J12" t="inlineStr">
        <is>
          <t>Open</t>
        </is>
      </c>
    </row>
    <row r="13">
      <c r="A13" t="inlineStr">
        <is>
          <t>2026-04-07</t>
        </is>
      </c>
      <c r="B13" t="inlineStr">
        <is>
          <t>2026-0407-012</t>
        </is>
      </c>
      <c r="C13" t="inlineStr">
        <is>
          <t>Flowise AI Platform Flaw</t>
        </is>
      </c>
      <c r="D13" t="inlineStr">
        <is>
          <t>Map</t>
        </is>
      </c>
      <c r="G13" t="inlineStr">
        <is>
          <t>HIGH</t>
        </is>
      </c>
      <c r="J13" t="inlineStr">
        <is>
          <t>Open</t>
        </is>
      </c>
    </row>
    <row r="14">
      <c r="A14" t="inlineStr">
        <is>
          <t>2026-04-07</t>
        </is>
      </c>
      <c r="B14" t="inlineStr">
        <is>
          <t>2026-0407-013</t>
        </is>
      </c>
      <c r="C14" t="inlineStr">
        <is>
          <t>Healthcare Ransomware (Interlock)</t>
        </is>
      </c>
      <c r="D14" t="inlineStr">
        <is>
          <t>Manage</t>
        </is>
      </c>
      <c r="G14" t="inlineStr">
        <is>
          <t>MEDIUM</t>
        </is>
      </c>
      <c r="J14" t="inlineStr">
        <is>
          <t>Open</t>
        </is>
      </c>
    </row>
    <row r="15">
      <c r="A15" t="inlineStr">
        <is>
          <t>2026-04-07</t>
        </is>
      </c>
      <c r="B15" t="inlineStr">
        <is>
          <t>2026-0407-014</t>
        </is>
      </c>
      <c r="C15" t="inlineStr">
        <is>
          <t>OWASP GenAI Red Teaming Initiative</t>
        </is>
      </c>
      <c r="D15" t="inlineStr">
        <is>
          <t>Govern</t>
        </is>
      </c>
      <c r="G15" t="inlineStr">
        <is>
          <t>INFO</t>
        </is>
      </c>
      <c r="J15" t="inlineStr">
        <is>
          <t>Monitoring</t>
        </is>
      </c>
    </row>
    <row r="16">
      <c r="A16" t="inlineStr">
        <is>
          <t>2026-04-07</t>
        </is>
      </c>
      <c r="B16" t="inlineStr">
        <is>
          <t>2026-0407-015</t>
        </is>
      </c>
      <c r="C16" t="inlineStr">
        <is>
          <t>NIST Cyber AI Profile / COSAiS</t>
        </is>
      </c>
      <c r="D16" t="inlineStr">
        <is>
          <t>Govern</t>
        </is>
      </c>
      <c r="G16" t="inlineStr">
        <is>
          <t>INFO</t>
        </is>
      </c>
      <c r="J16" t="inlineStr">
        <is>
          <t>Monitoring</t>
        </is>
      </c>
    </row>
    <row r="17">
      <c r="A17" t="inlineStr">
        <is>
          <t>2026-04-08</t>
        </is>
      </c>
      <c r="B17" t="inlineStr">
        <is>
          <t>2026-0408-001</t>
        </is>
      </c>
      <c r="C17" t="inlineStr">
        <is>
          <t>Axios NPM Package Hijack — RAT Deployment</t>
        </is>
      </c>
      <c r="D17" t="inlineStr">
        <is>
          <t>Map</t>
        </is>
      </c>
      <c r="G17" t="inlineStr">
        <is>
          <t>CRITICAL</t>
        </is>
      </c>
      <c r="J17" t="inlineStr">
        <is>
          <t>Active</t>
        </is>
      </c>
    </row>
    <row r="18">
      <c r="A18" t="inlineStr">
        <is>
          <t>2026-04-08</t>
        </is>
      </c>
      <c r="B18" t="inlineStr">
        <is>
          <t>2026-0408-002</t>
        </is>
      </c>
      <c r="C18" t="inlineStr">
        <is>
          <t>LiteLLM PyPI Infostealer (TeamPCP)</t>
        </is>
      </c>
      <c r="D18" t="inlineStr">
        <is>
          <t>Manage</t>
        </is>
      </c>
      <c r="G18" t="inlineStr">
        <is>
          <t>CRITICAL</t>
        </is>
      </c>
      <c r="J18" t="inlineStr">
        <is>
          <t>Active</t>
        </is>
      </c>
    </row>
    <row r="19">
      <c r="A19" t="inlineStr">
        <is>
          <t>2026-04-08</t>
        </is>
      </c>
      <c r="B19" t="inlineStr">
        <is>
          <t>2026-0408-003</t>
        </is>
      </c>
      <c r="C19" t="inlineStr">
        <is>
          <t>Citrix NetScaler ADC/Gateway CVE-2026-3055</t>
        </is>
      </c>
      <c r="D19" t="inlineStr">
        <is>
          <t>Manage</t>
        </is>
      </c>
      <c r="G19" t="inlineStr">
        <is>
          <t>CRITICAL</t>
        </is>
      </c>
      <c r="J19" t="inlineStr">
        <is>
          <t>Active</t>
        </is>
      </c>
    </row>
    <row r="20">
      <c r="A20" t="inlineStr">
        <is>
          <t>2026-04-08</t>
        </is>
      </c>
      <c r="B20" t="inlineStr">
        <is>
          <t>2026-0408-004</t>
        </is>
      </c>
      <c r="C20" t="inlineStr">
        <is>
          <t>ChipSoft Healthcare Ransomware — 80% Dutch Hospitals</t>
        </is>
      </c>
      <c r="D20" t="inlineStr">
        <is>
          <t>Manage</t>
        </is>
      </c>
      <c r="G20" t="inlineStr">
        <is>
          <t>CRITICAL</t>
        </is>
      </c>
      <c r="J20" t="inlineStr">
        <is>
          <t>Active</t>
        </is>
      </c>
    </row>
    <row r="21">
      <c r="A21" t="inlineStr">
        <is>
          <t>2026-04-08</t>
        </is>
      </c>
      <c r="B21" t="inlineStr">
        <is>
          <t>2026-0408-005</t>
        </is>
      </c>
      <c r="C21" t="inlineStr">
        <is>
          <t>LLMjacking — Operation Bizarre Bazaar</t>
        </is>
      </c>
      <c r="D21" t="inlineStr">
        <is>
          <t>Map</t>
        </is>
      </c>
      <c r="G21" t="inlineStr">
        <is>
          <t>HIGH</t>
        </is>
      </c>
      <c r="J21" t="inlineStr">
        <is>
          <t>Active</t>
        </is>
      </c>
    </row>
    <row r="22">
      <c r="A22" t="inlineStr">
        <is>
          <t>2026-04-08</t>
        </is>
      </c>
      <c r="B22" t="inlineStr">
        <is>
          <t>2026-0408-006</t>
        </is>
      </c>
      <c r="C22" t="inlineStr">
        <is>
          <t>MCP Sampling Attack Vectors (Unit42)</t>
        </is>
      </c>
      <c r="D22" t="inlineStr">
        <is>
          <t>Map</t>
        </is>
      </c>
      <c r="G22" t="inlineStr">
        <is>
          <t>HIGH</t>
        </is>
      </c>
      <c r="J22" t="inlineStr">
        <is>
          <t>Active</t>
        </is>
      </c>
    </row>
    <row r="23">
      <c r="A23" t="inlineStr">
        <is>
          <t>2026-04-08</t>
        </is>
      </c>
      <c r="B23" t="inlineStr">
        <is>
          <t>2026-0408-007</t>
        </is>
      </c>
      <c r="C23" t="inlineStr">
        <is>
          <t>Shadow AI — Primary Enterprise Data Leakage Vector</t>
        </is>
      </c>
      <c r="D23" t="inlineStr">
        <is>
          <t>Govern</t>
        </is>
      </c>
      <c r="G23" t="inlineStr">
        <is>
          <t>HIGH</t>
        </is>
      </c>
      <c r="J23" t="inlineStr">
        <is>
          <t>Active</t>
        </is>
      </c>
    </row>
    <row r="24">
      <c r="A24" t="inlineStr">
        <is>
          <t>2026-04-08</t>
        </is>
      </c>
      <c r="B24" t="inlineStr">
        <is>
          <t>2026-0408-008</t>
        </is>
      </c>
      <c r="C24" t="inlineStr">
        <is>
          <t>Agentic AI Security Gap — 83% Deploy, 29% Ready</t>
        </is>
      </c>
      <c r="D24" t="inlineStr">
        <is>
          <t>Govern</t>
        </is>
      </c>
      <c r="G24" t="inlineStr">
        <is>
          <t>HIGH</t>
        </is>
      </c>
      <c r="J24" t="inlineStr">
        <is>
          <t>Active</t>
        </is>
      </c>
    </row>
    <row r="25">
      <c r="A25" t="inlineStr">
        <is>
          <t>2026-04-08</t>
        </is>
      </c>
      <c r="B25" t="inlineStr">
        <is>
          <t>2026-0408-009</t>
        </is>
      </c>
      <c r="C25" t="inlineStr">
        <is>
          <t>Chaos Malware Cloud-Targeting Variant</t>
        </is>
      </c>
      <c r="D25" t="inlineStr">
        <is>
          <t>Manage</t>
        </is>
      </c>
      <c r="G25" t="inlineStr">
        <is>
          <t>HIGH</t>
        </is>
      </c>
      <c r="J25" t="inlineStr">
        <is>
          <t>Active</t>
        </is>
      </c>
    </row>
    <row r="26">
      <c r="A26" t="inlineStr">
        <is>
          <t>2026-04-08</t>
        </is>
      </c>
      <c r="B26" t="inlineStr">
        <is>
          <t>2026-0408-010</t>
        </is>
      </c>
      <c r="C26" t="inlineStr">
        <is>
          <t>Handala Ransomware Group Surge — 23 Victims March</t>
        </is>
      </c>
      <c r="D26" t="inlineStr">
        <is>
          <t>Manage</t>
        </is>
      </c>
      <c r="G26" t="inlineStr">
        <is>
          <t>HIGH</t>
        </is>
      </c>
      <c r="J26" t="inlineStr">
        <is>
          <t>Active</t>
        </is>
      </c>
    </row>
    <row r="27">
      <c r="A27" t="inlineStr">
        <is>
          <t>2026-04-08</t>
        </is>
      </c>
      <c r="B27" t="inlineStr">
        <is>
          <t>2026-0408-011</t>
        </is>
      </c>
      <c r="C27" t="inlineStr">
        <is>
          <t>LLM Agent Memory Poisoning Attacks</t>
        </is>
      </c>
      <c r="D27" t="inlineStr">
        <is>
          <t>Measure</t>
        </is>
      </c>
      <c r="G27" t="inlineStr">
        <is>
          <t>MEDIUM</t>
        </is>
      </c>
      <c r="J27" t="inlineStr">
        <is>
          <t>Monitoring</t>
        </is>
      </c>
    </row>
    <row r="28">
      <c r="A28" t="inlineStr">
        <is>
          <t>2026-04-08</t>
        </is>
      </c>
      <c r="B28" t="inlineStr">
        <is>
          <t>2026-0408-012</t>
        </is>
      </c>
      <c r="C28" t="inlineStr">
        <is>
          <t>Middlesex County Government Systems Attack</t>
        </is>
      </c>
      <c r="D28" t="inlineStr">
        <is>
          <t>Manage</t>
        </is>
      </c>
      <c r="G28" t="inlineStr">
        <is>
          <t>MEDIUM</t>
        </is>
      </c>
      <c r="J28" t="inlineStr">
        <is>
          <t>Monitoring</t>
        </is>
      </c>
    </row>
    <row r="29">
      <c r="A29" t="inlineStr">
        <is>
          <t>2026-04-08</t>
        </is>
      </c>
      <c r="B29" t="inlineStr">
        <is>
          <t>2026-0408-013</t>
        </is>
      </c>
      <c r="C29" t="inlineStr">
        <is>
          <t>Qilin RaaS — 1,800+ Cumulative Victims</t>
        </is>
      </c>
      <c r="D29" t="inlineStr">
        <is>
          <t>Manage</t>
        </is>
      </c>
      <c r="G29" t="inlineStr">
        <is>
          <t>MEDIUM</t>
        </is>
      </c>
      <c r="J29" t="inlineStr">
        <is>
          <t>Monitoring</t>
        </is>
      </c>
    </row>
    <row r="30">
      <c r="A30" t="inlineStr">
        <is>
          <t>2026-04-08</t>
        </is>
      </c>
      <c r="B30" t="inlineStr">
        <is>
          <t>2026-0408-014</t>
        </is>
      </c>
      <c r="C30" t="inlineStr">
        <is>
          <t>OWASP Top 10 for Agentic Applications 2026</t>
        </is>
      </c>
      <c r="D30" t="inlineStr">
        <is>
          <t>Govern</t>
        </is>
      </c>
      <c r="G30" t="inlineStr">
        <is>
          <t>INFO</t>
        </is>
      </c>
      <c r="J30" t="inlineStr">
        <is>
          <t>Monitoring</t>
        </is>
      </c>
    </row>
    <row r="31">
      <c r="A31" t="inlineStr">
        <is>
          <t>2026-04-08</t>
        </is>
      </c>
      <c r="B31" t="inlineStr">
        <is>
          <t>2026-0408-015</t>
        </is>
      </c>
      <c r="C31" t="inlineStr">
        <is>
          <t>Cisco State of AI Security 2026 Report</t>
        </is>
      </c>
      <c r="D31" t="inlineStr">
        <is>
          <t>Govern</t>
        </is>
      </c>
      <c r="G31" t="inlineStr">
        <is>
          <t>INFO</t>
        </is>
      </c>
      <c r="J31" t="inlineStr">
        <is>
          <t>Monitoring</t>
        </is>
      </c>
    </row>
    <row r="32">
      <c r="A32" t="inlineStr">
        <is>
          <t>2026-04-09</t>
        </is>
      </c>
      <c r="B32" t="inlineStr">
        <is>
          <t>2026-0409-001</t>
        </is>
      </c>
      <c r="C32" t="inlineStr">
        <is>
          <t>EchoLeak: M365 Copilot Zero-Click Data Exfiltration</t>
        </is>
      </c>
      <c r="D32" t="inlineStr">
        <is>
          <t>Measure</t>
        </is>
      </c>
      <c r="E32" t="inlineStr">
        <is>
          <t>MG-3.2 — Incident Response</t>
        </is>
      </c>
      <c r="G32" t="inlineStr">
        <is>
          <t>CRITICAL</t>
        </is>
      </c>
      <c r="J32" t="inlineStr">
        <is>
          <t>In Progress</t>
        </is>
      </c>
    </row>
    <row r="33">
      <c r="A33" t="inlineStr">
        <is>
          <t>2026-04-09</t>
        </is>
      </c>
      <c r="B33" t="inlineStr">
        <is>
          <t>2026-0409-002</t>
        </is>
      </c>
      <c r="C33" t="inlineStr">
        <is>
          <t>OpenClaw Malicious Marketplace Skills &amp; WebSocket Hijack</t>
        </is>
      </c>
      <c r="D33" t="inlineStr">
        <is>
          <t>Map</t>
        </is>
      </c>
      <c r="E33" t="inlineStr">
        <is>
          <t>MG-3.2 — Incident Response</t>
        </is>
      </c>
      <c r="G33" t="inlineStr">
        <is>
          <t>CRITICAL</t>
        </is>
      </c>
      <c r="J33" t="inlineStr">
        <is>
          <t>In Progress</t>
        </is>
      </c>
    </row>
    <row r="34">
      <c r="A34" t="inlineStr">
        <is>
          <t>2026-04-09</t>
        </is>
      </c>
      <c r="B34" t="inlineStr">
        <is>
          <t>2026-0409-003</t>
        </is>
      </c>
      <c r="C34" t="inlineStr">
        <is>
          <t>MCP Security Audit: 43% Vulnerable, 30+ CVEs in 60 Days</t>
        </is>
      </c>
      <c r="D34" t="inlineStr">
        <is>
          <t>Map</t>
        </is>
      </c>
      <c r="E34" t="inlineStr">
        <is>
          <t>MS-2.5 — Testing and Monitoring</t>
        </is>
      </c>
      <c r="G34" t="inlineStr">
        <is>
          <t>HIGH</t>
        </is>
      </c>
      <c r="J34" t="inlineStr">
        <is>
          <t>In Progress</t>
        </is>
      </c>
    </row>
    <row r="35">
      <c r="A35" t="inlineStr">
        <is>
          <t>2026-04-09</t>
        </is>
      </c>
      <c r="B35" t="inlineStr">
        <is>
          <t>2026-0409-004</t>
        </is>
      </c>
      <c r="C35" t="inlineStr">
        <is>
          <t>Indirect Prompt Injection — 80% SSH Key Exfiltration via Poisoned Email</t>
        </is>
      </c>
      <c r="D35" t="inlineStr">
        <is>
          <t>Measure</t>
        </is>
      </c>
      <c r="E35" t="inlineStr">
        <is>
          <t>MS-2.5 — Testing and Monitoring</t>
        </is>
      </c>
      <c r="G35" t="inlineStr">
        <is>
          <t>HIGH</t>
        </is>
      </c>
      <c r="J35" t="inlineStr">
        <is>
          <t>In Progress</t>
        </is>
      </c>
    </row>
    <row r="36">
      <c r="A36" t="inlineStr">
        <is>
          <t>2026-04-09</t>
        </is>
      </c>
      <c r="B36" t="inlineStr">
        <is>
          <t>2026-0409-005</t>
        </is>
      </c>
      <c r="C36" t="inlineStr">
        <is>
          <t>arXiv:2604.03081 — Supply-Chain Poisoning in LLM Coding Agent Skill Ecosystems</t>
        </is>
      </c>
      <c r="D36" t="inlineStr">
        <is>
          <t>Map</t>
        </is>
      </c>
      <c r="E36" t="inlineStr">
        <is>
          <t>MS-2.5 — Testing and Monitoring</t>
        </is>
      </c>
      <c r="G36" t="inlineStr">
        <is>
          <t>HIGH</t>
        </is>
      </c>
      <c r="J36" t="inlineStr">
        <is>
          <t>In Progress</t>
        </is>
      </c>
    </row>
    <row r="37">
      <c r="A37" t="inlineStr">
        <is>
          <t>2026-04-09</t>
        </is>
      </c>
      <c r="B37" t="inlineStr">
        <is>
          <t>2026-0409-006</t>
        </is>
      </c>
      <c r="C37" t="inlineStr">
        <is>
          <t>AI Trading Agent Vulnerability — $45M Crypto Protocol Breach</t>
        </is>
      </c>
      <c r="D37" t="inlineStr">
        <is>
          <t>Manage</t>
        </is>
      </c>
      <c r="E37" t="inlineStr">
        <is>
          <t>MS-2.5 — Testing and Monitoring</t>
        </is>
      </c>
      <c r="G37" t="inlineStr">
        <is>
          <t>HIGH</t>
        </is>
      </c>
      <c r="J37" t="inlineStr">
        <is>
          <t>In Progress</t>
        </is>
      </c>
    </row>
    <row r="38">
      <c r="A38" t="inlineStr">
        <is>
          <t>2026-04-09</t>
        </is>
      </c>
      <c r="B38" t="inlineStr">
        <is>
          <t>2026-0409-007</t>
        </is>
      </c>
      <c r="C38" t="inlineStr">
        <is>
          <t>Axios NPM Supply Chain — Google Attributes to DPRK UNC1069</t>
        </is>
      </c>
      <c r="D38" t="inlineStr">
        <is>
          <t>Map</t>
        </is>
      </c>
      <c r="E38" t="inlineStr">
        <is>
          <t>MG-3.2 — Incident Response</t>
        </is>
      </c>
      <c r="G38" t="inlineStr">
        <is>
          <t>CRITICAL</t>
        </is>
      </c>
      <c r="J38" t="inlineStr">
        <is>
          <t>In Progress</t>
        </is>
      </c>
    </row>
    <row r="39">
      <c r="A39" t="inlineStr">
        <is>
          <t>2026-04-09</t>
        </is>
      </c>
      <c r="B39" t="inlineStr">
        <is>
          <t>2026-0409-008</t>
        </is>
      </c>
      <c r="C39" t="inlineStr">
        <is>
          <t>Mercor AI $10B Breach — 4TB Data via LiteLLM (Lapsus$ / TeamPCP)</t>
        </is>
      </c>
      <c r="D39" t="inlineStr">
        <is>
          <t>Manage</t>
        </is>
      </c>
      <c r="E39" t="inlineStr">
        <is>
          <t>MG-3.2 — Incident Response</t>
        </is>
      </c>
      <c r="G39" t="inlineStr">
        <is>
          <t>CRITICAL</t>
        </is>
      </c>
      <c r="J39" t="inlineStr">
        <is>
          <t>In Progress</t>
        </is>
      </c>
    </row>
    <row r="40">
      <c r="A40" t="inlineStr">
        <is>
          <t>2026-04-09</t>
        </is>
      </c>
      <c r="B40" t="inlineStr">
        <is>
          <t>2026-0409-009</t>
        </is>
      </c>
      <c r="C40" t="inlineStr">
        <is>
          <t>Trivy Scanner Compromise + Anthropic Source Code Leak (10-Day Wave)</t>
        </is>
      </c>
      <c r="D40" t="inlineStr">
        <is>
          <t>Map</t>
        </is>
      </c>
      <c r="E40" t="inlineStr">
        <is>
          <t>MS-2.5 — Testing and Monitoring</t>
        </is>
      </c>
      <c r="G40" t="inlineStr">
        <is>
          <t>HIGH</t>
        </is>
      </c>
      <c r="J40" t="inlineStr">
        <is>
          <t>In Progress</t>
        </is>
      </c>
    </row>
    <row r="41">
      <c r="A41" t="inlineStr">
        <is>
          <t>2026-04-09</t>
        </is>
      </c>
      <c r="B41" t="inlineStr">
        <is>
          <t>2026-0409-010</t>
        </is>
      </c>
      <c r="C41" t="inlineStr">
        <is>
          <t>Fortinet CVE-2026-35616 Patched — Pre-Auth RCE (CVSS 9.1, CISA KEV)</t>
        </is>
      </c>
      <c r="D41" t="inlineStr">
        <is>
          <t>Manage</t>
        </is>
      </c>
      <c r="E41" t="inlineStr">
        <is>
          <t>MS-2.5 — Testing and Monitoring</t>
        </is>
      </c>
      <c r="G41" t="inlineStr">
        <is>
          <t>HIGH</t>
        </is>
      </c>
      <c r="J41" t="inlineStr">
        <is>
          <t>In Progress</t>
        </is>
      </c>
    </row>
    <row r="42">
      <c r="A42" t="inlineStr">
        <is>
          <t>2026-04-09</t>
        </is>
      </c>
      <c r="B42" t="inlineStr">
        <is>
          <t>2026-0409-011</t>
        </is>
      </c>
      <c r="C42" t="inlineStr">
        <is>
          <t>Chrome Zero-Day CVE-2026-5281 — Use-After-Free in Dawn (4th in 2026)</t>
        </is>
      </c>
      <c r="D42" t="inlineStr">
        <is>
          <t>Manage</t>
        </is>
      </c>
      <c r="E42" t="inlineStr">
        <is>
          <t>MS-2.5 — Testing and Monitoring</t>
        </is>
      </c>
      <c r="G42" t="inlineStr">
        <is>
          <t>HIGH</t>
        </is>
      </c>
      <c r="J42" t="inlineStr">
        <is>
          <t>In Progress</t>
        </is>
      </c>
    </row>
    <row r="43">
      <c r="A43" t="inlineStr">
        <is>
          <t>2026-04-09</t>
        </is>
      </c>
      <c r="B43" t="inlineStr">
        <is>
          <t>2026-0409-012</t>
        </is>
      </c>
      <c r="C43" t="inlineStr">
        <is>
          <t>TrueConf Zero-Day CVE-2026-3502 — Tampered Update RCE (SE Asian Govts)</t>
        </is>
      </c>
      <c r="D43" t="inlineStr">
        <is>
          <t>Manage</t>
        </is>
      </c>
      <c r="E43" t="inlineStr">
        <is>
          <t>MS-2.5 — Testing and Monitoring</t>
        </is>
      </c>
      <c r="G43" t="inlineStr">
        <is>
          <t>HIGH</t>
        </is>
      </c>
      <c r="J43" t="inlineStr">
        <is>
          <t>In Progress</t>
        </is>
      </c>
    </row>
    <row r="44">
      <c r="A44" t="inlineStr">
        <is>
          <t>2026-04-09</t>
        </is>
      </c>
      <c r="B44" t="inlineStr">
        <is>
          <t>2026-0409-013</t>
        </is>
      </c>
      <c r="C44" t="inlineStr">
        <is>
          <t>CareCloud Healthcare Breach — EHR Compromised, 8-Hour Outage</t>
        </is>
      </c>
      <c r="D44" t="inlineStr">
        <is>
          <t>Manage</t>
        </is>
      </c>
      <c r="E44" t="inlineStr">
        <is>
          <t>MG-3.2 — Incident Response</t>
        </is>
      </c>
      <c r="G44" t="inlineStr">
        <is>
          <t>MEDIUM</t>
        </is>
      </c>
      <c r="J44" t="inlineStr">
        <is>
          <t>In Progress</t>
        </is>
      </c>
    </row>
    <row r="45">
      <c r="A45" t="inlineStr">
        <is>
          <t>2026-04-09</t>
        </is>
      </c>
      <c r="B45" t="inlineStr">
        <is>
          <t>2026-0409-014</t>
        </is>
      </c>
      <c r="C45" t="inlineStr">
        <is>
          <t>DragonForce Ransomware — AT Packaging Breach (April 7, 2026)</t>
        </is>
      </c>
      <c r="D45" t="inlineStr">
        <is>
          <t>Manage</t>
        </is>
      </c>
      <c r="E45" t="inlineStr">
        <is>
          <t>MS-2.5 — Testing and Monitoring</t>
        </is>
      </c>
      <c r="G45" t="inlineStr">
        <is>
          <t>HIGH</t>
        </is>
      </c>
      <c r="J45" t="inlineStr">
        <is>
          <t>In Progress</t>
        </is>
      </c>
    </row>
    <row r="46">
      <c r="A46" t="inlineStr">
        <is>
          <t>2026-04-09</t>
        </is>
      </c>
      <c r="B46" t="inlineStr">
        <is>
          <t>2026-0409-015</t>
        </is>
      </c>
      <c r="C46" t="inlineStr">
        <is>
          <t>April 2026 Ransomware Surge — 168 Victims / 43 Countries (Week 1)</t>
        </is>
      </c>
      <c r="D46" t="inlineStr">
        <is>
          <t>Manage</t>
        </is>
      </c>
      <c r="E46" t="inlineStr">
        <is>
          <t>MS-2.5 — Testing and Monitoring</t>
        </is>
      </c>
      <c r="G46" t="inlineStr">
        <is>
          <t>HIGH</t>
        </is>
      </c>
      <c r="J46" t="inlineStr">
        <is>
          <t>In Progress</t>
        </is>
      </c>
    </row>
    <row r="47">
      <c r="A47" t="inlineStr">
        <is>
          <t>2026-04-09</t>
        </is>
      </c>
      <c r="B47" t="inlineStr">
        <is>
          <t>2026-0409-016</t>
        </is>
      </c>
      <c r="C47" t="inlineStr">
        <is>
          <t>NIST CAISI: AI Agent Red-Teaming Competition Insights</t>
        </is>
      </c>
      <c r="D47" t="inlineStr">
        <is>
          <t>Govern</t>
        </is>
      </c>
      <c r="E47" t="inlineStr">
        <is>
          <t>GV-6.1 — Red Teaming in AI Governance</t>
        </is>
      </c>
      <c r="G47" t="inlineStr">
        <is>
          <t>INFO</t>
        </is>
      </c>
      <c r="J47" t="inlineStr">
        <is>
          <t>Monitoring</t>
        </is>
      </c>
    </row>
    <row r="48">
      <c r="A48" t="inlineStr">
        <is>
          <t>2026-04-09</t>
        </is>
      </c>
      <c r="B48" t="inlineStr">
        <is>
          <t>2026-0409-017</t>
        </is>
      </c>
      <c r="C48" t="inlineStr">
        <is>
          <t>OWASP MCP Top 10 Published — Security Standard for MCP</t>
        </is>
      </c>
      <c r="D48" t="inlineStr">
        <is>
          <t>Govern</t>
        </is>
      </c>
      <c r="E48" t="inlineStr">
        <is>
          <t>GV-6.1 — Red Teaming in AI Governance</t>
        </is>
      </c>
      <c r="G48" t="inlineStr">
        <is>
          <t>INFO</t>
        </is>
      </c>
      <c r="J48" t="inlineStr">
        <is>
          <t>Monitoring</t>
        </is>
      </c>
    </row>
    <row r="49">
      <c r="A49" t="inlineStr">
        <is>
          <t>2026-04-09</t>
        </is>
      </c>
      <c r="B49" t="inlineStr">
        <is>
          <t>2026-0409-018</t>
        </is>
      </c>
      <c r="C49" t="inlineStr">
        <is>
          <t>Votal AI RLHF Adversarial Attacker Model Launch (RSA 2026)</t>
        </is>
      </c>
      <c r="D49" t="inlineStr">
        <is>
          <t>Govern</t>
        </is>
      </c>
      <c r="E49" t="inlineStr">
        <is>
          <t>GV-6.1 — Red Teaming in AI Governance</t>
        </is>
      </c>
      <c r="G49" t="inlineStr">
        <is>
          <t>INFO</t>
        </is>
      </c>
      <c r="J49" t="inlineStr">
        <is>
          <t>Monitoring</t>
        </is>
      </c>
    </row>
    <row r="50">
      <c r="A50" t="inlineStr">
        <is>
          <t>2026-04-10</t>
        </is>
      </c>
      <c r="B50" t="inlineStr">
        <is>
          <t>2026-0410-001</t>
        </is>
      </c>
      <c r="C50" t="inlineStr">
        <is>
          <t>Claude Mythos Preview — AI-Powered Zero-Day Discovery at Scale</t>
        </is>
      </c>
      <c r="D50" t="inlineStr">
        <is>
          <t>Govern</t>
        </is>
      </c>
      <c r="G50" t="inlineStr">
        <is>
          <t>CRITICAL</t>
        </is>
      </c>
      <c r="J50" t="inlineStr">
        <is>
          <t>Open</t>
        </is>
      </c>
    </row>
    <row r="51">
      <c r="A51" t="inlineStr">
        <is>
          <t>2026-04-10</t>
        </is>
      </c>
      <c r="B51" t="inlineStr">
        <is>
          <t>2026-0410-002</t>
        </is>
      </c>
      <c r="C51" t="inlineStr">
        <is>
          <t>Prompt Injection Surge — 340% Increase in 2026, 88% Success Rate</t>
        </is>
      </c>
      <c r="D51" t="inlineStr">
        <is>
          <t>Measure</t>
        </is>
      </c>
      <c r="G51" t="inlineStr">
        <is>
          <t>CRITICAL</t>
        </is>
      </c>
      <c r="J51" t="inlineStr">
        <is>
          <t>Open</t>
        </is>
      </c>
    </row>
    <row r="52">
      <c r="A52" t="inlineStr">
        <is>
          <t>2026-04-10</t>
        </is>
      </c>
      <c r="B52" t="inlineStr">
        <is>
          <t>2026-0410-003</t>
        </is>
      </c>
      <c r="C52" t="inlineStr">
        <is>
          <t>MCP Defense-Placement Taxonomy (arXiv:2604.07551)</t>
        </is>
      </c>
      <c r="D52" t="inlineStr">
        <is>
          <t>Map</t>
        </is>
      </c>
      <c r="G52" t="inlineStr">
        <is>
          <t>HIGH</t>
        </is>
      </c>
      <c r="J52" t="inlineStr">
        <is>
          <t>Open</t>
        </is>
      </c>
    </row>
    <row r="53">
      <c r="A53" t="inlineStr">
        <is>
          <t>2026-04-10</t>
        </is>
      </c>
      <c r="B53" t="inlineStr">
        <is>
          <t>2026-0410-004</t>
        </is>
      </c>
      <c r="C53" t="inlineStr">
        <is>
          <t>Agentic AI #1 Attack Vector — 70% Enterprise Incident Rate</t>
        </is>
      </c>
      <c r="D53" t="inlineStr">
        <is>
          <t>Govern</t>
        </is>
      </c>
      <c r="G53" t="inlineStr">
        <is>
          <t>HIGH</t>
        </is>
      </c>
      <c r="J53" t="inlineStr">
        <is>
          <t>Open</t>
        </is>
      </c>
    </row>
    <row r="54">
      <c r="A54" t="inlineStr">
        <is>
          <t>2026-04-10</t>
        </is>
      </c>
      <c r="B54" t="inlineStr">
        <is>
          <t>2026-0410-005</t>
        </is>
      </c>
      <c r="C54" t="inlineStr">
        <is>
          <t>MCP Server Supply Chain — 67,057 Servers Audited, Widespread Hijackability</t>
        </is>
      </c>
      <c r="D54" t="inlineStr">
        <is>
          <t>Map</t>
        </is>
      </c>
      <c r="G54" t="inlineStr">
        <is>
          <t>HIGH</t>
        </is>
      </c>
      <c r="J54" t="inlineStr">
        <is>
          <t>Open</t>
        </is>
      </c>
    </row>
    <row r="55">
      <c r="A55" t="inlineStr">
        <is>
          <t>2026-04-10</t>
        </is>
      </c>
      <c r="B55" t="inlineStr">
        <is>
          <t>2026-0410-006</t>
        </is>
      </c>
      <c r="C55" t="inlineStr">
        <is>
          <t>LLM Security Risk Landscape 2026 — Shadow AI, RAG, and Memory Attacks</t>
        </is>
      </c>
      <c r="D55" t="inlineStr">
        <is>
          <t>Measure</t>
        </is>
      </c>
      <c r="G55" t="inlineStr">
        <is>
          <t>MEDIUM</t>
        </is>
      </c>
      <c r="J55" t="inlineStr">
        <is>
          <t>Open</t>
        </is>
      </c>
    </row>
    <row r="56">
      <c r="A56" t="inlineStr">
        <is>
          <t>2026-04-10</t>
        </is>
      </c>
      <c r="B56" t="inlineStr">
        <is>
          <t>2026-0410-007</t>
        </is>
      </c>
      <c r="C56" t="inlineStr">
        <is>
          <t>Trivy Supply Chain Attack — European Commission 300GB Breach via TeamPCP</t>
        </is>
      </c>
      <c r="D56" t="inlineStr">
        <is>
          <t>Map</t>
        </is>
      </c>
      <c r="G56" t="inlineStr">
        <is>
          <t>CRITICAL</t>
        </is>
      </c>
      <c r="J56" t="inlineStr">
        <is>
          <t>Open</t>
        </is>
      </c>
    </row>
    <row r="57">
      <c r="A57" t="inlineStr">
        <is>
          <t>2026-04-10</t>
        </is>
      </c>
      <c r="B57" t="inlineStr">
        <is>
          <t>2026-0410-008</t>
        </is>
      </c>
      <c r="C57" t="inlineStr">
        <is>
          <t>Axios NPM + LiteLLM + Trivy — Cascading Supply Chain Wave Continues</t>
        </is>
      </c>
      <c r="D57" t="inlineStr">
        <is>
          <t>Map</t>
        </is>
      </c>
      <c r="G57" t="inlineStr">
        <is>
          <t>CRITICAL</t>
        </is>
      </c>
      <c r="J57" t="inlineStr">
        <is>
          <t>Open</t>
        </is>
      </c>
    </row>
    <row r="58">
      <c r="A58" t="inlineStr">
        <is>
          <t>2026-04-10</t>
        </is>
      </c>
      <c r="B58" t="inlineStr">
        <is>
          <t>2026-0410-009</t>
        </is>
      </c>
      <c r="C58" t="inlineStr">
        <is>
          <t>Mercor AI $10B Breach — 4TB Exfiltrated, Class Action Filed</t>
        </is>
      </c>
      <c r="D58" t="inlineStr">
        <is>
          <t>Manage</t>
        </is>
      </c>
      <c r="G58" t="inlineStr">
        <is>
          <t>HIGH</t>
        </is>
      </c>
      <c r="J58" t="inlineStr">
        <is>
          <t>Open</t>
        </is>
      </c>
    </row>
    <row r="59">
      <c r="A59" t="inlineStr">
        <is>
          <t>2026-04-10</t>
        </is>
      </c>
      <c r="B59" t="inlineStr">
        <is>
          <t>2026-0410-010</t>
        </is>
      </c>
      <c r="C59" t="inlineStr">
        <is>
          <t>Fortinet FortiClient EMS CVE-2026-35616 — Pre-Auth RCE (CVSS 9.8)</t>
        </is>
      </c>
      <c r="D59" t="inlineStr">
        <is>
          <t>Manage</t>
        </is>
      </c>
      <c r="G59" t="inlineStr">
        <is>
          <t>CRITICAL</t>
        </is>
      </c>
      <c r="J59" t="inlineStr">
        <is>
          <t>Open</t>
        </is>
      </c>
    </row>
    <row r="60">
      <c r="A60" t="inlineStr">
        <is>
          <t>2026-04-10</t>
        </is>
      </c>
      <c r="B60" t="inlineStr">
        <is>
          <t>2026-0410-011</t>
        </is>
      </c>
      <c r="C60" t="inlineStr">
        <is>
          <t>Chrome Zero-Day CVE-2026-5281 + CVE-2026-2441 — 4th &amp; 5th Exploited in 2026</t>
        </is>
      </c>
      <c r="D60" t="inlineStr">
        <is>
          <t>Manage</t>
        </is>
      </c>
      <c r="G60" t="inlineStr">
        <is>
          <t>HIGH</t>
        </is>
      </c>
      <c r="J60" t="inlineStr">
        <is>
          <t>Open</t>
        </is>
      </c>
    </row>
    <row r="61">
      <c r="A61" t="inlineStr">
        <is>
          <t>2026-04-10</t>
        </is>
      </c>
      <c r="B61" t="inlineStr">
        <is>
          <t>2026-0410-012</t>
        </is>
      </c>
      <c r="C61" t="inlineStr">
        <is>
          <t>TrueConf CVE-2026-3502 — SE Asian Government Network Espionage</t>
        </is>
      </c>
      <c r="D61" t="inlineStr">
        <is>
          <t>Manage</t>
        </is>
      </c>
      <c r="G61" t="inlineStr">
        <is>
          <t>HIGH</t>
        </is>
      </c>
      <c r="J61" t="inlineStr">
        <is>
          <t>Open</t>
        </is>
      </c>
    </row>
    <row r="62">
      <c r="A62" t="inlineStr">
        <is>
          <t>2026-04-10</t>
        </is>
      </c>
      <c r="B62" t="inlineStr">
        <is>
          <t>2026-0410-013</t>
        </is>
      </c>
      <c r="C62" t="inlineStr">
        <is>
          <t>Healthcare Breach Cluster — CareCloud, ChipSoft, Interlock (3 in 10 Days)</t>
        </is>
      </c>
      <c r="D62" t="inlineStr">
        <is>
          <t>Manage</t>
        </is>
      </c>
      <c r="G62" t="inlineStr">
        <is>
          <t>MEDIUM</t>
        </is>
      </c>
      <c r="J62" t="inlineStr">
        <is>
          <t>Open</t>
        </is>
      </c>
    </row>
    <row r="63">
      <c r="A63" t="inlineStr">
        <is>
          <t>2026-04-10</t>
        </is>
      </c>
      <c r="B63" t="inlineStr">
        <is>
          <t>2026-0410-014</t>
        </is>
      </c>
      <c r="C63" t="inlineStr">
        <is>
          <t>April 2026 Ransomware Acceleration — 168 Victims, 43 Countries, Week 1</t>
        </is>
      </c>
      <c r="D63" t="inlineStr">
        <is>
          <t>Manage</t>
        </is>
      </c>
      <c r="G63" t="inlineStr">
        <is>
          <t>HIGH</t>
        </is>
      </c>
      <c r="J63" t="inlineStr">
        <is>
          <t>Open</t>
        </is>
      </c>
    </row>
    <row r="64">
      <c r="A64" t="inlineStr">
        <is>
          <t>2026-04-10</t>
        </is>
      </c>
      <c r="B64" t="inlineStr">
        <is>
          <t>2026-0410-015</t>
        </is>
      </c>
      <c r="C64" t="inlineStr">
        <is>
          <t>Adobe 13M Support Ticket &amp; Bug Bounty Data Breach</t>
        </is>
      </c>
      <c r="D64" t="inlineStr">
        <is>
          <t>Manage</t>
        </is>
      </c>
      <c r="G64" t="inlineStr">
        <is>
          <t>MEDIUM</t>
        </is>
      </c>
      <c r="J64" t="inlineStr">
        <is>
          <t>Open</t>
        </is>
      </c>
    </row>
    <row r="65">
      <c r="A65" t="inlineStr">
        <is>
          <t>2026-04-10</t>
        </is>
      </c>
      <c r="B65" t="inlineStr">
        <is>
          <t>2026-0410-016</t>
        </is>
      </c>
      <c r="C65" t="inlineStr">
        <is>
          <t>NIST AI Red Teaming Protocol Standardization for Health AI</t>
        </is>
      </c>
      <c r="D65" t="inlineStr">
        <is>
          <t>Measure</t>
        </is>
      </c>
      <c r="G65" t="inlineStr">
        <is>
          <t>INFO</t>
        </is>
      </c>
      <c r="J65" t="inlineStr">
        <is>
          <t>Open</t>
        </is>
      </c>
    </row>
    <row r="66">
      <c r="A66" t="inlineStr">
        <is>
          <t>2026-04-10</t>
        </is>
      </c>
      <c r="B66" t="inlineStr">
        <is>
          <t>2026-0410-017</t>
        </is>
      </c>
      <c r="C66" t="inlineStr">
        <is>
          <t>OWASP GenAI Red Teaming Guide v2.0 &amp; LLM Security Guide Updates</t>
        </is>
      </c>
      <c r="D66" t="inlineStr">
        <is>
          <t>Govern</t>
        </is>
      </c>
      <c r="G66" t="inlineStr">
        <is>
          <t>INFO</t>
        </is>
      </c>
      <c r="J66" t="inlineStr">
        <is>
          <t>Open</t>
        </is>
      </c>
    </row>
    <row r="67">
      <c r="A67" t="inlineStr">
        <is>
          <t>2026-04-13</t>
        </is>
      </c>
      <c r="B67" t="inlineStr">
        <is>
          <t>2026-0413-001</t>
        </is>
      </c>
      <c r="C67" t="inlineStr">
        <is>
          <t>CVE-2026-23744 — MCPJam Inspector RCE (CVSS 9.8)</t>
        </is>
      </c>
      <c r="D67" t="inlineStr">
        <is>
          <t>Manage</t>
        </is>
      </c>
      <c r="E67" t="inlineStr">
        <is>
          <t>MG-3: Risk management</t>
        </is>
      </c>
      <c r="G67" t="inlineStr">
        <is>
          <t>CRITICAL</t>
        </is>
      </c>
      <c r="J67" t="inlineStr">
        <is>
          <t>Open</t>
        </is>
      </c>
    </row>
    <row r="68">
      <c r="A68" t="inlineStr">
        <is>
          <t>2026-04-13</t>
        </is>
      </c>
      <c r="B68" t="inlineStr">
        <is>
          <t>2026-0413-002</t>
        </is>
      </c>
      <c r="C68" t="inlineStr">
        <is>
          <t>GitHub MCP Integration Agent Hijack via Malicious Issues</t>
        </is>
      </c>
      <c r="D68" t="inlineStr">
        <is>
          <t>Measure</t>
        </is>
      </c>
      <c r="E68" t="inlineStr">
        <is>
          <t>MS-2: Risk measurement</t>
        </is>
      </c>
      <c r="G68" t="inlineStr">
        <is>
          <t>CRITICAL</t>
        </is>
      </c>
      <c r="J68" t="inlineStr">
        <is>
          <t>Open</t>
        </is>
      </c>
    </row>
    <row r="69">
      <c r="A69" t="inlineStr">
        <is>
          <t>2026-04-13</t>
        </is>
      </c>
      <c r="B69" t="inlineStr">
        <is>
          <t>2026-0413-003</t>
        </is>
      </c>
      <c r="C69" t="inlineStr">
        <is>
          <t>OWASP Top 10 for Agentic Applications 2026 — New Autonomous Risks</t>
        </is>
      </c>
      <c r="D69" t="inlineStr">
        <is>
          <t>Govern</t>
        </is>
      </c>
      <c r="E69" t="inlineStr">
        <is>
          <t>GV-1: Governance policies</t>
        </is>
      </c>
      <c r="G69" t="inlineStr">
        <is>
          <t>HIGH</t>
        </is>
      </c>
      <c r="J69" t="inlineStr">
        <is>
          <t>Open</t>
        </is>
      </c>
    </row>
    <row r="70">
      <c r="A70" t="inlineStr">
        <is>
          <t>2026-04-13</t>
        </is>
      </c>
      <c r="B70" t="inlineStr">
        <is>
          <t>2026-0413-004</t>
        </is>
      </c>
      <c r="C70" t="inlineStr">
        <is>
          <t>LLMjacking Campaign Escalation — Exposed Endpoint Hijacking at Scale</t>
        </is>
      </c>
      <c r="D70" t="inlineStr">
        <is>
          <t>Manage</t>
        </is>
      </c>
      <c r="E70" t="inlineStr">
        <is>
          <t>MG-3: Risk management</t>
        </is>
      </c>
      <c r="G70" t="inlineStr">
        <is>
          <t>HIGH</t>
        </is>
      </c>
      <c r="J70" t="inlineStr">
        <is>
          <t>Open</t>
        </is>
      </c>
    </row>
    <row r="71">
      <c r="A71" t="inlineStr">
        <is>
          <t>2026-04-13</t>
        </is>
      </c>
      <c r="B71" t="inlineStr">
        <is>
          <t>2026-0413-005</t>
        </is>
      </c>
      <c r="C71" t="inlineStr">
        <is>
          <t>AI Agent 'Lethal Trifecta' — Privileged Access + Untrusted Input + Public Output</t>
        </is>
      </c>
      <c r="D71" t="inlineStr">
        <is>
          <t>Map</t>
        </is>
      </c>
      <c r="E71" t="inlineStr">
        <is>
          <t>MP-2: Context mapping</t>
        </is>
      </c>
      <c r="G71" t="inlineStr">
        <is>
          <t>HIGH</t>
        </is>
      </c>
      <c r="J71" t="inlineStr">
        <is>
          <t>Open</t>
        </is>
      </c>
    </row>
    <row r="72">
      <c r="A72" t="inlineStr">
        <is>
          <t>2026-04-13</t>
        </is>
      </c>
      <c r="B72" t="inlineStr">
        <is>
          <t>2026-0413-006</t>
        </is>
      </c>
      <c r="C72" t="inlineStr">
        <is>
          <t>Shadow AI Now #1 Enterprise Data Leakage Vector in 2026</t>
        </is>
      </c>
      <c r="D72" t="inlineStr">
        <is>
          <t>Govern</t>
        </is>
      </c>
      <c r="E72" t="inlineStr">
        <is>
          <t>GV-1: Governance policies</t>
        </is>
      </c>
      <c r="G72" t="inlineStr">
        <is>
          <t>MEDIUM</t>
        </is>
      </c>
      <c r="J72" t="inlineStr">
        <is>
          <t>Open</t>
        </is>
      </c>
    </row>
    <row r="73">
      <c r="A73" t="inlineStr">
        <is>
          <t>2026-04-13</t>
        </is>
      </c>
      <c r="B73" t="inlineStr">
        <is>
          <t>2026-0413-007</t>
        </is>
      </c>
      <c r="C73" t="inlineStr">
        <is>
          <t>TeamPCP / Lapsus$ Supply Chain Wave — Hundreds of Thousands of Stolen Secrets</t>
        </is>
      </c>
      <c r="D73" t="inlineStr">
        <is>
          <t>Map</t>
        </is>
      </c>
      <c r="E73" t="inlineStr">
        <is>
          <t>MP-2: Context mapping</t>
        </is>
      </c>
      <c r="G73" t="inlineStr">
        <is>
          <t>CRITICAL</t>
        </is>
      </c>
      <c r="J73" t="inlineStr">
        <is>
          <t>Open</t>
        </is>
      </c>
    </row>
    <row r="74">
      <c r="A74" t="inlineStr">
        <is>
          <t>2026-04-13</t>
        </is>
      </c>
      <c r="B74" t="inlineStr">
        <is>
          <t>2026-0413-008</t>
        </is>
      </c>
      <c r="C74" t="inlineStr">
        <is>
          <t>Open Source Malware Up 73% — AI Development Pipelines Targeted</t>
        </is>
      </c>
      <c r="D74" t="inlineStr">
        <is>
          <t>Map</t>
        </is>
      </c>
      <c r="E74" t="inlineStr">
        <is>
          <t>MP-2: Context mapping</t>
        </is>
      </c>
      <c r="G74" t="inlineStr">
        <is>
          <t>HIGH</t>
        </is>
      </c>
      <c r="J74" t="inlineStr">
        <is>
          <t>Open</t>
        </is>
      </c>
    </row>
    <row r="75">
      <c r="A75" t="inlineStr">
        <is>
          <t>2026-04-13</t>
        </is>
      </c>
      <c r="B75" t="inlineStr">
        <is>
          <t>2026-0413-009</t>
        </is>
      </c>
      <c r="C75" t="inlineStr">
        <is>
          <t>European Commission Trivy Breach — CERT-EU Confirms Initial Access Vector</t>
        </is>
      </c>
      <c r="D75" t="inlineStr">
        <is>
          <t>Manage</t>
        </is>
      </c>
      <c r="E75" t="inlineStr">
        <is>
          <t>MG-3: Risk management</t>
        </is>
      </c>
      <c r="G75" t="inlineStr">
        <is>
          <t>CRITICAL</t>
        </is>
      </c>
      <c r="J75" t="inlineStr">
        <is>
          <t>Open</t>
        </is>
      </c>
    </row>
    <row r="76">
      <c r="A76" t="inlineStr">
        <is>
          <t>2026-04-13</t>
        </is>
      </c>
      <c r="B76" t="inlineStr">
        <is>
          <t>2026-0413-010</t>
        </is>
      </c>
      <c r="C76" t="inlineStr">
        <is>
          <t>Drift Protocol $285M Heist — DPRK Social Engineering Campaign</t>
        </is>
      </c>
      <c r="D76" t="inlineStr">
        <is>
          <t>Manage</t>
        </is>
      </c>
      <c r="E76" t="inlineStr">
        <is>
          <t>MG-3: Risk management</t>
        </is>
      </c>
      <c r="G76" t="inlineStr">
        <is>
          <t>CRITICAL</t>
        </is>
      </c>
      <c r="J76" t="inlineStr">
        <is>
          <t>Open</t>
        </is>
      </c>
    </row>
    <row r="77">
      <c r="A77" t="inlineStr">
        <is>
          <t>2026-04-13</t>
        </is>
      </c>
      <c r="B77" t="inlineStr">
        <is>
          <t>2026-0413-011</t>
        </is>
      </c>
      <c r="C77" t="inlineStr">
        <is>
          <t>CPUID Website Compromise — CPU-Z &amp; HWMonitor Download Hijack</t>
        </is>
      </c>
      <c r="D77" t="inlineStr">
        <is>
          <t>Manage</t>
        </is>
      </c>
      <c r="E77" t="inlineStr">
        <is>
          <t>MG-3: Risk management</t>
        </is>
      </c>
      <c r="G77" t="inlineStr">
        <is>
          <t>HIGH</t>
        </is>
      </c>
      <c r="J77" t="inlineStr">
        <is>
          <t>Open</t>
        </is>
      </c>
    </row>
    <row r="78">
      <c r="A78" t="inlineStr">
        <is>
          <t>2026-04-13</t>
        </is>
      </c>
      <c r="B78" t="inlineStr">
        <is>
          <t>2026-0413-012</t>
        </is>
      </c>
      <c r="C78" t="inlineStr">
        <is>
          <t>Gritman Medical Ransomware — Multi-Clinic Outage Across Idaho</t>
        </is>
      </c>
      <c r="D78" t="inlineStr">
        <is>
          <t>Manage</t>
        </is>
      </c>
      <c r="E78" t="inlineStr">
        <is>
          <t>MG-3: Risk management</t>
        </is>
      </c>
      <c r="G78" t="inlineStr">
        <is>
          <t>HIGH</t>
        </is>
      </c>
      <c r="J78" t="inlineStr">
        <is>
          <t>Open</t>
        </is>
      </c>
    </row>
    <row r="79">
      <c r="A79" t="inlineStr">
        <is>
          <t>2026-04-13</t>
        </is>
      </c>
      <c r="B79" t="inlineStr">
        <is>
          <t>2026-0413-013</t>
        </is>
      </c>
      <c r="C79" t="inlineStr">
        <is>
          <t>Hasbro IT Systems Breached — Data Stolen, Operations Disrupted</t>
        </is>
      </c>
      <c r="D79" t="inlineStr">
        <is>
          <t>Manage</t>
        </is>
      </c>
      <c r="E79" t="inlineStr">
        <is>
          <t>MG-3: Risk management</t>
        </is>
      </c>
      <c r="G79" t="inlineStr">
        <is>
          <t>HIGH</t>
        </is>
      </c>
      <c r="J79" t="inlineStr">
        <is>
          <t>Open</t>
        </is>
      </c>
    </row>
    <row r="80">
      <c r="A80" t="inlineStr">
        <is>
          <t>2026-04-13</t>
        </is>
      </c>
      <c r="B80" t="inlineStr">
        <is>
          <t>2026-0413-014</t>
        </is>
      </c>
      <c r="C80" t="inlineStr">
        <is>
          <t>Handala Ransomware Group Surge — 23+ Victims, Multi-Sector Acceleration</t>
        </is>
      </c>
      <c r="D80" t="inlineStr">
        <is>
          <t>Manage</t>
        </is>
      </c>
      <c r="E80" t="inlineStr">
        <is>
          <t>MG-3: Risk management</t>
        </is>
      </c>
      <c r="G80" t="inlineStr">
        <is>
          <t>HIGH</t>
        </is>
      </c>
      <c r="J80" t="inlineStr">
        <is>
          <t>Open</t>
        </is>
      </c>
    </row>
    <row r="81">
      <c r="A81" t="inlineStr">
        <is>
          <t>2026-04-13</t>
        </is>
      </c>
      <c r="B81" t="inlineStr">
        <is>
          <t>2026-0413-015</t>
        </is>
      </c>
      <c r="C81" t="inlineStr">
        <is>
          <t>Hong Kong Hospital Authority Patient Data Leak on Third-Party Platform</t>
        </is>
      </c>
      <c r="D81" t="inlineStr">
        <is>
          <t>Manage</t>
        </is>
      </c>
      <c r="E81" t="inlineStr">
        <is>
          <t>MG-3: Risk management</t>
        </is>
      </c>
      <c r="G81" t="inlineStr">
        <is>
          <t>MEDIUM</t>
        </is>
      </c>
      <c r="J81" t="inlineStr">
        <is>
          <t>Open</t>
        </is>
      </c>
    </row>
    <row r="82">
      <c r="A82" t="inlineStr">
        <is>
          <t>2026-04-13</t>
        </is>
      </c>
      <c r="B82" t="inlineStr">
        <is>
          <t>2026-0413-016</t>
        </is>
      </c>
      <c r="C82" t="inlineStr">
        <is>
          <t>AI Security Solutions Landscape Q2 2026 — OWASP GenAI Project</t>
        </is>
      </c>
      <c r="D82" t="inlineStr">
        <is>
          <t>Govern</t>
        </is>
      </c>
      <c r="E82" t="inlineStr">
        <is>
          <t>GV-1: Governance policies</t>
        </is>
      </c>
      <c r="G82" t="inlineStr">
        <is>
          <t>INFO</t>
        </is>
      </c>
      <c r="J82" t="inlineStr">
        <is>
          <t>Open</t>
        </is>
      </c>
    </row>
    <row r="83">
      <c r="A83" t="inlineStr">
        <is>
          <t>2026-04-13</t>
        </is>
      </c>
      <c r="B83" t="inlineStr">
        <is>
          <t>2026-0413-017</t>
        </is>
      </c>
      <c r="C83" t="inlineStr">
        <is>
          <t>Prompt Injection in Agentic Coding Assistants — Systematic Vulnerability Analysis (arXiv)</t>
        </is>
      </c>
      <c r="D83" t="inlineStr">
        <is>
          <t>Measure</t>
        </is>
      </c>
      <c r="E83" t="inlineStr">
        <is>
          <t>MS-2: Risk measurement</t>
        </is>
      </c>
      <c r="G83" t="inlineStr">
        <is>
          <t>INFO</t>
        </is>
      </c>
      <c r="J83" t="inlineStr">
        <is>
          <t>Open</t>
        </is>
      </c>
    </row>
    <row r="84">
      <c r="A84" t="inlineStr">
        <is>
          <t>2026-04-14</t>
        </is>
      </c>
      <c r="B84" t="inlineStr">
        <is>
          <t>2026-0414-001</t>
        </is>
      </c>
      <c r="C84" t="inlineStr">
        <is>
          <t>DNS Tunneling Channel Discovered in ChatGPT Code Sandbox — Covert Data Exfiltration</t>
        </is>
      </c>
      <c r="D84" t="inlineStr">
        <is>
          <t>Measure</t>
        </is>
      </c>
      <c r="E84" t="inlineStr">
        <is>
          <t>MS-2</t>
        </is>
      </c>
      <c r="G84" t="inlineStr">
        <is>
          <t>CRITICAL</t>
        </is>
      </c>
      <c r="J84" t="inlineStr">
        <is>
          <t>Escalate</t>
        </is>
      </c>
    </row>
    <row r="85">
      <c r="A85" t="inlineStr">
        <is>
          <t>2026-04-14</t>
        </is>
      </c>
      <c r="B85" t="inlineStr">
        <is>
          <t>2026-0414-002</t>
        </is>
      </c>
      <c r="C85" t="inlineStr">
        <is>
          <t>Memory Poisoning in LLM Agents — 90%+ Attack Success Against GPT-5 mini &amp; Claude Sonnet 4.5</t>
        </is>
      </c>
      <c r="D85" t="inlineStr">
        <is>
          <t>Measure</t>
        </is>
      </c>
      <c r="E85" t="inlineStr">
        <is>
          <t>MS-2</t>
        </is>
      </c>
      <c r="G85" t="inlineStr">
        <is>
          <t>CRITICAL</t>
        </is>
      </c>
      <c r="J85" t="inlineStr">
        <is>
          <t>Escalate</t>
        </is>
      </c>
    </row>
    <row r="86">
      <c r="A86" t="inlineStr">
        <is>
          <t>2026-04-14</t>
        </is>
      </c>
      <c r="B86" t="inlineStr">
        <is>
          <t>2026-0414-003</t>
        </is>
      </c>
      <c r="C86" t="inlineStr">
        <is>
          <t>Anthropic Mythos Preview Restricted After Autonomous Zero-Day Discovery Across Major Systems</t>
        </is>
      </c>
      <c r="D86" t="inlineStr">
        <is>
          <t>Govern</t>
        </is>
      </c>
      <c r="E86" t="inlineStr">
        <is>
          <t>GV-1</t>
        </is>
      </c>
      <c r="G86" t="inlineStr">
        <is>
          <t>HIGH</t>
        </is>
      </c>
      <c r="J86" t="inlineStr">
        <is>
          <t>Monitor</t>
        </is>
      </c>
    </row>
    <row r="87">
      <c r="A87" t="inlineStr">
        <is>
          <t>2026-04-14</t>
        </is>
      </c>
      <c r="B87" t="inlineStr">
        <is>
          <t>2026-0414-004</t>
        </is>
      </c>
      <c r="C87" t="inlineStr">
        <is>
          <t>MCP Cross-Client Data Leak CVE-2026-25536 — StreamableHTTP Transport Boundary Failure</t>
        </is>
      </c>
      <c r="D87" t="inlineStr">
        <is>
          <t>Map</t>
        </is>
      </c>
      <c r="E87" t="inlineStr">
        <is>
          <t>MP-2</t>
        </is>
      </c>
      <c r="G87" t="inlineStr">
        <is>
          <t>HIGH</t>
        </is>
      </c>
      <c r="J87" t="inlineStr">
        <is>
          <t>Investigate</t>
        </is>
      </c>
    </row>
    <row r="88">
      <c r="A88" t="inlineStr">
        <is>
          <t>2026-04-14</t>
        </is>
      </c>
      <c r="B88" t="inlineStr">
        <is>
          <t>2026-0414-005</t>
        </is>
      </c>
      <c r="C88" t="inlineStr">
        <is>
          <t>Cascading Prompt Injection in Multi-Agent Pipelines — Cross-Layer Propagation Attacks</t>
        </is>
      </c>
      <c r="D88" t="inlineStr">
        <is>
          <t>Measure</t>
        </is>
      </c>
      <c r="E88" t="inlineStr">
        <is>
          <t>MS-2</t>
        </is>
      </c>
      <c r="G88" t="inlineStr">
        <is>
          <t>HIGH</t>
        </is>
      </c>
      <c r="J88" t="inlineStr">
        <is>
          <t>Monitor</t>
        </is>
      </c>
    </row>
    <row r="89">
      <c r="A89" t="inlineStr">
        <is>
          <t>2026-04-14</t>
        </is>
      </c>
      <c r="B89" t="inlineStr">
        <is>
          <t>2026-0414-006</t>
        </is>
      </c>
      <c r="C89" t="inlineStr">
        <is>
          <t>OpenAI Concedes Prompt Injection 'Unlikely to Ever Be Fully Solved'</t>
        </is>
      </c>
      <c r="D89" t="inlineStr">
        <is>
          <t>Govern</t>
        </is>
      </c>
      <c r="E89" t="inlineStr">
        <is>
          <t>GV-1</t>
        </is>
      </c>
      <c r="G89" t="inlineStr">
        <is>
          <t>MEDIUM</t>
        </is>
      </c>
      <c r="J89" t="inlineStr">
        <is>
          <t>Monitor</t>
        </is>
      </c>
    </row>
    <row r="90">
      <c r="A90" t="inlineStr">
        <is>
          <t>2026-04-14</t>
        </is>
      </c>
      <c r="B90" t="inlineStr">
        <is>
          <t>2026-0414-007</t>
        </is>
      </c>
      <c r="C90" t="inlineStr">
        <is>
          <t>Axios NPM Backdoor Still Active in Production — Vectra Detection Guidance Published</t>
        </is>
      </c>
      <c r="D90" t="inlineStr">
        <is>
          <t>Manage</t>
        </is>
      </c>
      <c r="E90" t="inlineStr">
        <is>
          <t>MG-3</t>
        </is>
      </c>
      <c r="G90" t="inlineStr">
        <is>
          <t>CRITICAL</t>
        </is>
      </c>
      <c r="J90" t="inlineStr">
        <is>
          <t>Escalate</t>
        </is>
      </c>
    </row>
    <row r="91">
      <c r="A91" t="inlineStr">
        <is>
          <t>2026-04-14</t>
        </is>
      </c>
      <c r="B91" t="inlineStr">
        <is>
          <t>2026-0414-008</t>
        </is>
      </c>
      <c r="C91" t="inlineStr">
        <is>
          <t>Claude Source Code Leak Exposes Systemic Supply Chain Oversight Gaps</t>
        </is>
      </c>
      <c r="D91" t="inlineStr">
        <is>
          <t>Govern</t>
        </is>
      </c>
      <c r="E91" t="inlineStr">
        <is>
          <t>GV-1</t>
        </is>
      </c>
      <c r="G91" t="inlineStr">
        <is>
          <t>HIGH</t>
        </is>
      </c>
      <c r="J91" t="inlineStr">
        <is>
          <t>Monitor</t>
        </is>
      </c>
    </row>
    <row r="92">
      <c r="A92" t="inlineStr">
        <is>
          <t>2026-04-14</t>
        </is>
      </c>
      <c r="B92" t="inlineStr">
        <is>
          <t>2026-0414-009</t>
        </is>
      </c>
      <c r="C92" t="inlineStr">
        <is>
          <t>Talos Intelligence 2026 Supply Chain Defense Report — Security Tools as Attack Vectors</t>
        </is>
      </c>
      <c r="D92" t="inlineStr">
        <is>
          <t>Map</t>
        </is>
      </c>
      <c r="E92" t="inlineStr">
        <is>
          <t>MP-2</t>
        </is>
      </c>
      <c r="G92" t="inlineStr">
        <is>
          <t>HIGH</t>
        </is>
      </c>
      <c r="J92" t="inlineStr">
        <is>
          <t>Monitor</t>
        </is>
      </c>
    </row>
    <row r="93">
      <c r="A93" t="inlineStr">
        <is>
          <t>2026-04-14</t>
        </is>
      </c>
      <c r="B93" t="inlineStr">
        <is>
          <t>2026-0414-010</t>
        </is>
      </c>
      <c r="C93" t="inlineStr">
        <is>
          <t>Rockstar Games ShinyHunters Ransom Deadline Today — Cloud Infrastructure Data at Stake</t>
        </is>
      </c>
      <c r="D93" t="inlineStr">
        <is>
          <t>Manage</t>
        </is>
      </c>
      <c r="E93" t="inlineStr">
        <is>
          <t>MG-3</t>
        </is>
      </c>
      <c r="G93" t="inlineStr">
        <is>
          <t>CRITICAL</t>
        </is>
      </c>
      <c r="J93" t="inlineStr">
        <is>
          <t>Monitor</t>
        </is>
      </c>
    </row>
    <row r="94">
      <c r="A94" t="inlineStr">
        <is>
          <t>2026-04-14</t>
        </is>
      </c>
      <c r="B94" t="inlineStr">
        <is>
          <t>2026-0414-011</t>
        </is>
      </c>
      <c r="C94" t="inlineStr">
        <is>
          <t>Adobe Acrobat Reader CVE-2026-34621 — Emergency Patch for Active Exploitation (CVSS 8.6)</t>
        </is>
      </c>
      <c r="D94" t="inlineStr">
        <is>
          <t>Manage</t>
        </is>
      </c>
      <c r="E94" t="inlineStr">
        <is>
          <t>MG-3</t>
        </is>
      </c>
      <c r="G94" t="inlineStr">
        <is>
          <t>HIGH</t>
        </is>
      </c>
      <c r="J94" t="inlineStr">
        <is>
          <t>Escalate</t>
        </is>
      </c>
    </row>
    <row r="95">
      <c r="A95" t="inlineStr">
        <is>
          <t>2026-04-14</t>
        </is>
      </c>
      <c r="B95" t="inlineStr">
        <is>
          <t>2026-0414-012</t>
        </is>
      </c>
      <c r="C95" t="inlineStr">
        <is>
          <t>Windows Zero-Day Exploit Leaked Ahead of April Patch Tuesday</t>
        </is>
      </c>
      <c r="D95" t="inlineStr">
        <is>
          <t>Manage</t>
        </is>
      </c>
      <c r="E95" t="inlineStr">
        <is>
          <t>MG-3</t>
        </is>
      </c>
      <c r="G95" t="inlineStr">
        <is>
          <t>HIGH</t>
        </is>
      </c>
      <c r="J95" t="inlineStr">
        <is>
          <t>Escalate</t>
        </is>
      </c>
    </row>
    <row r="96">
      <c r="A96" t="inlineStr">
        <is>
          <t>2026-04-14</t>
        </is>
      </c>
      <c r="B96" t="inlineStr">
        <is>
          <t>2026-0414-013</t>
        </is>
      </c>
      <c r="C96" t="inlineStr">
        <is>
          <t>SongTrivia 2.9M Account Breach — Auth Tokens Passwords and PII Published</t>
        </is>
      </c>
      <c r="D96" t="inlineStr">
        <is>
          <t>Manage</t>
        </is>
      </c>
      <c r="E96" t="inlineStr">
        <is>
          <t>MG-3</t>
        </is>
      </c>
      <c r="G96" t="inlineStr">
        <is>
          <t>HIGH</t>
        </is>
      </c>
      <c r="J96" t="inlineStr">
        <is>
          <t>Monitor</t>
        </is>
      </c>
    </row>
    <row r="97">
      <c r="A97" t="inlineStr">
        <is>
          <t>2026-04-14</t>
        </is>
      </c>
      <c r="B97" t="inlineStr">
        <is>
          <t>2026-0414-014</t>
        </is>
      </c>
      <c r="C97" t="inlineStr">
        <is>
          <t>ComTec Systems Ransomware — IT Provider Breach Cascades to Downstream Clients</t>
        </is>
      </c>
      <c r="D97" t="inlineStr">
        <is>
          <t>Manage</t>
        </is>
      </c>
      <c r="E97" t="inlineStr">
        <is>
          <t>MG-3</t>
        </is>
      </c>
      <c r="G97" t="inlineStr">
        <is>
          <t>HIGH</t>
        </is>
      </c>
      <c r="J97" t="inlineStr">
        <is>
          <t>Monitor</t>
        </is>
      </c>
    </row>
    <row r="98">
      <c r="A98" t="inlineStr">
        <is>
          <t>2026-04-14</t>
        </is>
      </c>
      <c r="B98" t="inlineStr">
        <is>
          <t>2026-0414-015</t>
        </is>
      </c>
      <c r="C98" t="inlineStr">
        <is>
          <t>Bitdefender April 2026 Threat Debrief — AI-Augmented Attack Techniques Accelerating</t>
        </is>
      </c>
      <c r="D98" t="inlineStr">
        <is>
          <t>Govern</t>
        </is>
      </c>
      <c r="E98" t="inlineStr">
        <is>
          <t>GV-1</t>
        </is>
      </c>
      <c r="G98" t="inlineStr">
        <is>
          <t>MEDIUM</t>
        </is>
      </c>
      <c r="J98" t="inlineStr">
        <is>
          <t>Monitor</t>
        </is>
      </c>
    </row>
    <row r="99">
      <c r="A99" t="inlineStr">
        <is>
          <t>2026-04-14</t>
        </is>
      </c>
      <c r="B99" t="inlineStr">
        <is>
          <t>2026-0414-016</t>
        </is>
      </c>
      <c r="C99" t="inlineStr">
        <is>
          <t>Vulnerable MCP Project Launches Comprehensive Security Database</t>
        </is>
      </c>
      <c r="D99" t="inlineStr">
        <is>
          <t>Govern</t>
        </is>
      </c>
      <c r="E99" t="inlineStr">
        <is>
          <t>GV-1</t>
        </is>
      </c>
      <c r="G99" t="inlineStr">
        <is>
          <t>INFO</t>
        </is>
      </c>
      <c r="J99" t="inlineStr">
        <is>
          <t>Monitor</t>
        </is>
      </c>
    </row>
    <row r="100">
      <c r="A100" t="inlineStr">
        <is>
          <t>2026-04-14</t>
        </is>
      </c>
      <c r="B100" t="inlineStr">
        <is>
          <t>2026-0414-017</t>
        </is>
      </c>
      <c r="C100" t="inlineStr">
        <is>
          <t>MCP-DPT Defense-Placement Taxonomy Published (arXiv:2604.07551) — Coverage Gap Analysis</t>
        </is>
      </c>
      <c r="D100" t="inlineStr">
        <is>
          <t>Map</t>
        </is>
      </c>
      <c r="E100" t="inlineStr">
        <is>
          <t>MP-2</t>
        </is>
      </c>
      <c r="G100" t="inlineStr">
        <is>
          <t>INFO</t>
        </is>
      </c>
      <c r="J100" t="inlineStr">
        <is>
          <t>Monitor</t>
        </is>
      </c>
    </row>
    <row r="101">
      <c r="A101" t="inlineStr">
        <is>
          <t>2026-04-23</t>
        </is>
      </c>
      <c r="B101" t="inlineStr">
        <is>
          <t>2026-0423-001</t>
        </is>
      </c>
      <c r="C101" t="inlineStr">
        <is>
          <t>MCP / Toolchain RCE</t>
        </is>
      </c>
      <c r="D101" t="inlineStr">
        <is>
          <t>Govern/Manage</t>
        </is>
      </c>
      <c r="G101" t="inlineStr">
        <is>
          <t>CRITICAL</t>
        </is>
      </c>
      <c r="I101" t="inlineStr">
        <is>
          <t>Investigate - URGENT</t>
        </is>
      </c>
      <c r="J101" t="inlineStr">
        <is>
          <t>Open</t>
        </is>
      </c>
    </row>
    <row r="102">
      <c r="A102" t="inlineStr">
        <is>
          <t>2026-04-23</t>
        </is>
      </c>
      <c r="B102" t="inlineStr">
        <is>
          <t>2026-0423-002</t>
        </is>
      </c>
      <c r="C102" t="inlineStr">
        <is>
          <t>MCP / Toolchain RCE</t>
        </is>
      </c>
      <c r="D102" t="inlineStr">
        <is>
          <t>Manage</t>
        </is>
      </c>
      <c r="G102" t="inlineStr">
        <is>
          <t>CRITICAL</t>
        </is>
      </c>
      <c r="I102" t="inlineStr">
        <is>
          <t>Investigate - URGENT</t>
        </is>
      </c>
      <c r="J102" t="inlineStr">
        <is>
          <t>Open</t>
        </is>
      </c>
    </row>
    <row r="103">
      <c r="A103" t="inlineStr">
        <is>
          <t>2026-04-23</t>
        </is>
      </c>
      <c r="B103" t="inlineStr">
        <is>
          <t>2026-0423-003</t>
        </is>
      </c>
      <c r="C103" t="inlineStr">
        <is>
          <t>Inference Engine SSRF</t>
        </is>
      </c>
      <c r="D103" t="inlineStr">
        <is>
          <t>Manage</t>
        </is>
      </c>
      <c r="G103" t="inlineStr">
        <is>
          <t>CRITICAL</t>
        </is>
      </c>
      <c r="I103" t="inlineStr">
        <is>
          <t>Patch - URGENT</t>
        </is>
      </c>
      <c r="J103" t="inlineStr">
        <is>
          <t>Open</t>
        </is>
      </c>
    </row>
    <row r="104">
      <c r="A104" t="inlineStr">
        <is>
          <t>2026-04-23</t>
        </is>
      </c>
      <c r="B104" t="inlineStr">
        <is>
          <t>2026-0423-004</t>
        </is>
      </c>
      <c r="C104" t="inlineStr">
        <is>
          <t>Memory Poisoning</t>
        </is>
      </c>
      <c r="D104" t="inlineStr">
        <is>
          <t>Measure</t>
        </is>
      </c>
      <c r="G104" t="inlineStr">
        <is>
          <t>CRITICAL</t>
        </is>
      </c>
      <c r="I104" t="inlineStr">
        <is>
          <t>Monitor/Implement</t>
        </is>
      </c>
      <c r="J104" t="inlineStr">
        <is>
          <t>Open</t>
        </is>
      </c>
    </row>
    <row r="105">
      <c r="A105" t="inlineStr">
        <is>
          <t>2026-04-23</t>
        </is>
      </c>
      <c r="B105" t="inlineStr">
        <is>
          <t>2026-0423-005</t>
        </is>
      </c>
      <c r="C105" t="inlineStr">
        <is>
          <t>Recommendation Poisoning</t>
        </is>
      </c>
      <c r="D105" t="inlineStr">
        <is>
          <t>Govern/Measure</t>
        </is>
      </c>
      <c r="G105" t="inlineStr">
        <is>
          <t>HIGH</t>
        </is>
      </c>
      <c r="I105" t="inlineStr">
        <is>
          <t>Investigate</t>
        </is>
      </c>
      <c r="J105" t="inlineStr">
        <is>
          <t>Open</t>
        </is>
      </c>
    </row>
    <row r="106">
      <c r="A106" t="inlineStr">
        <is>
          <t>2026-04-23</t>
        </is>
      </c>
      <c r="B106" t="inlineStr">
        <is>
          <t>2026-0423-006</t>
        </is>
      </c>
      <c r="C106" t="inlineStr">
        <is>
          <t>Governance Signal</t>
        </is>
      </c>
      <c r="D106" t="inlineStr">
        <is>
          <t>Govern</t>
        </is>
      </c>
      <c r="G106" t="inlineStr">
        <is>
          <t>HIGH</t>
        </is>
      </c>
      <c r="I106" t="inlineStr">
        <is>
          <t>Escalate to Leadership</t>
        </is>
      </c>
      <c r="J106" t="inlineStr">
        <is>
          <t>Open</t>
        </is>
      </c>
    </row>
    <row r="107">
      <c r="A107" t="inlineStr">
        <is>
          <t>2026-04-23</t>
        </is>
      </c>
      <c r="B107" t="inlineStr">
        <is>
          <t>2026-0423-007</t>
        </is>
      </c>
      <c r="C107" t="inlineStr">
        <is>
          <t>Agent Privilege Abuse</t>
        </is>
      </c>
      <c r="D107" t="inlineStr">
        <is>
          <t>Manage</t>
        </is>
      </c>
      <c r="G107" t="inlineStr">
        <is>
          <t>HIGH</t>
        </is>
      </c>
      <c r="I107" t="inlineStr">
        <is>
          <t>Investigate</t>
        </is>
      </c>
      <c r="J107" t="inlineStr">
        <is>
          <t>Open</t>
        </is>
      </c>
    </row>
    <row r="108">
      <c r="A108" t="inlineStr">
        <is>
          <t>2026-04-23</t>
        </is>
      </c>
      <c r="B108" t="inlineStr">
        <is>
          <t>2026-0423-008</t>
        </is>
      </c>
      <c r="C108" t="inlineStr">
        <is>
          <t>Offensive AI Capability</t>
        </is>
      </c>
      <c r="D108" t="inlineStr">
        <is>
          <t>Govern/Measure</t>
        </is>
      </c>
      <c r="G108" t="inlineStr">
        <is>
          <t>HIGH</t>
        </is>
      </c>
      <c r="I108" t="inlineStr">
        <is>
          <t>Monitor</t>
        </is>
      </c>
      <c r="J108" t="inlineStr">
        <is>
          <t>Open</t>
        </is>
      </c>
    </row>
    <row r="109">
      <c r="A109" t="inlineStr">
        <is>
          <t>2026-04-23</t>
        </is>
      </c>
      <c r="B109" t="inlineStr">
        <is>
          <t>2026-0423-009</t>
        </is>
      </c>
      <c r="C109" t="inlineStr">
        <is>
          <t>AI Toolchain RCE</t>
        </is>
      </c>
      <c r="D109" t="inlineStr">
        <is>
          <t>Manage</t>
        </is>
      </c>
      <c r="G109" t="inlineStr">
        <is>
          <t>HIGH</t>
        </is>
      </c>
      <c r="I109" t="inlineStr">
        <is>
          <t>Patch</t>
        </is>
      </c>
      <c r="J109" t="inlineStr">
        <is>
          <t>Open</t>
        </is>
      </c>
    </row>
    <row r="110">
      <c r="A110" t="inlineStr">
        <is>
          <t>2026-04-23</t>
        </is>
      </c>
      <c r="B110" t="inlineStr">
        <is>
          <t>2026-0423-010</t>
        </is>
      </c>
      <c r="C110" t="inlineStr">
        <is>
          <t>Third-party AI SaaS</t>
        </is>
      </c>
      <c r="D110" t="inlineStr">
        <is>
          <t>Manage</t>
        </is>
      </c>
      <c r="G110" t="inlineStr">
        <is>
          <t>HIGH</t>
        </is>
      </c>
      <c r="I110" t="inlineStr">
        <is>
          <t>Rotate Credentials</t>
        </is>
      </c>
      <c r="J110" t="inlineStr">
        <is>
          <t>Open</t>
        </is>
      </c>
    </row>
    <row r="111">
      <c r="A111" t="inlineStr">
        <is>
          <t>2026-04-23</t>
        </is>
      </c>
      <c r="B111" t="inlineStr">
        <is>
          <t>2026-0423-011</t>
        </is>
      </c>
      <c r="C111" t="inlineStr">
        <is>
          <t>AI Workflow Platform</t>
        </is>
      </c>
      <c r="D111" t="inlineStr">
        <is>
          <t>Manage</t>
        </is>
      </c>
      <c r="G111" t="inlineStr">
        <is>
          <t>HIGH</t>
        </is>
      </c>
      <c r="I111" t="inlineStr">
        <is>
          <t>Patch - HIGH</t>
        </is>
      </c>
      <c r="J111" t="inlineStr">
        <is>
          <t>Open</t>
        </is>
      </c>
    </row>
    <row r="112">
      <c r="A112" t="inlineStr">
        <is>
          <t>2026-04-23</t>
        </is>
      </c>
      <c r="B112" t="inlineStr">
        <is>
          <t>2026-0423-012</t>
        </is>
      </c>
      <c r="C112" t="inlineStr">
        <is>
          <t>AI Defensive Capability</t>
        </is>
      </c>
      <c r="D112" t="inlineStr">
        <is>
          <t>Measure/Manage</t>
        </is>
      </c>
      <c r="G112" t="inlineStr">
        <is>
          <t>MEDIUM</t>
        </is>
      </c>
      <c r="I112" t="inlineStr">
        <is>
          <t>Monitor</t>
        </is>
      </c>
      <c r="J112" t="inlineStr">
        <is>
          <t>Open</t>
        </is>
      </c>
    </row>
    <row r="113">
      <c r="A113" t="inlineStr">
        <is>
          <t>2026-04-23</t>
        </is>
      </c>
      <c r="B113" t="inlineStr">
        <is>
          <t>2026-0423-013</t>
        </is>
      </c>
      <c r="C113" t="inlineStr">
        <is>
          <t>Endpoint Security Abuse</t>
        </is>
      </c>
      <c r="D113" t="inlineStr">
        <is>
          <t>Manage</t>
        </is>
      </c>
      <c r="G113" t="inlineStr">
        <is>
          <t>HIGH</t>
        </is>
      </c>
      <c r="I113" t="inlineStr">
        <is>
          <t>Compensating Controls</t>
        </is>
      </c>
      <c r="J113" t="inlineStr">
        <is>
          <t>Open</t>
        </is>
      </c>
    </row>
    <row r="114">
      <c r="A114" t="inlineStr">
        <is>
          <t>2026-04-23</t>
        </is>
      </c>
      <c r="B114" t="inlineStr">
        <is>
          <t>2026-0423-014</t>
        </is>
      </c>
      <c r="C114" t="inlineStr">
        <is>
          <t>Framework Update</t>
        </is>
      </c>
      <c r="D114" t="inlineStr">
        <is>
          <t>Map/Measure</t>
        </is>
      </c>
      <c r="G114" t="inlineStr">
        <is>
          <t>INFO</t>
        </is>
      </c>
      <c r="I114" t="inlineStr">
        <is>
          <t>Integrate into TIP</t>
        </is>
      </c>
      <c r="J114" t="inlineStr">
        <is>
          <t>Open</t>
        </is>
      </c>
    </row>
    <row r="115">
      <c r="A115" t="inlineStr">
        <is>
          <t>2026-04-23</t>
        </is>
      </c>
      <c r="B115" t="inlineStr">
        <is>
          <t>2026-0423-015</t>
        </is>
      </c>
      <c r="C115" t="inlineStr">
        <is>
          <t>Framework Update</t>
        </is>
      </c>
      <c r="D115" t="inlineStr">
        <is>
          <t>Govern/Map</t>
        </is>
      </c>
      <c r="G115" t="inlineStr">
        <is>
          <t>INFO</t>
        </is>
      </c>
      <c r="I115" t="inlineStr">
        <is>
          <t>Control Mapping</t>
        </is>
      </c>
      <c r="J115" t="inlineStr">
        <is>
          <t>Open</t>
        </is>
      </c>
    </row>
    <row r="116">
      <c r="A116" t="inlineStr">
        <is>
          <t>2026-04-23</t>
        </is>
      </c>
      <c r="B116" t="inlineStr">
        <is>
          <t>2026-0423-016</t>
        </is>
      </c>
      <c r="C116" t="inlineStr">
        <is>
          <t>Regulatory/Profile</t>
        </is>
      </c>
      <c r="D116" t="inlineStr">
        <is>
          <t>Govern</t>
        </is>
      </c>
      <c r="G116" t="inlineStr">
        <is>
          <t>INFO</t>
        </is>
      </c>
      <c r="I116" t="inlineStr">
        <is>
          <t>Submit Comments</t>
        </is>
      </c>
      <c r="J116" t="inlineStr">
        <is>
          <t>Open</t>
        </is>
      </c>
    </row>
    <row r="117">
      <c r="A117" t="inlineStr">
        <is>
          <t>2026-04-23</t>
        </is>
      </c>
      <c r="B117" t="inlineStr">
        <is>
          <t>2026-0423-017</t>
        </is>
      </c>
      <c r="C117" t="inlineStr">
        <is>
          <t>Implementation Guide</t>
        </is>
      </c>
      <c r="D117" t="inlineStr">
        <is>
          <t>Govern/Map</t>
        </is>
      </c>
      <c r="G117" t="inlineStr">
        <is>
          <t>INFO</t>
        </is>
      </c>
      <c r="I117" t="inlineStr">
        <is>
          <t>Reference Architecture</t>
        </is>
      </c>
      <c r="J117" t="inlineStr">
        <is>
          <t>Open</t>
        </is>
      </c>
    </row>
    <row r="118">
      <c r="A118" t="inlineStr">
        <is>
          <t>2026-04-24</t>
        </is>
      </c>
      <c r="B118" t="inlineStr">
        <is>
          <t>2026-0424-001</t>
        </is>
      </c>
      <c r="C118" t="inlineStr">
        <is>
          <t>Claude Code + GPT-4.1 Weaponized Against Mexican Government - 195M Records / 150GB Exfiltrated</t>
        </is>
      </c>
      <c r="D118" t="inlineStr">
        <is>
          <t>Manage / Measure</t>
        </is>
      </c>
      <c r="G118" t="inlineStr">
        <is>
          <t>CRITICAL</t>
        </is>
      </c>
      <c r="I118" t="inlineStr">
        <is>
          <t>Escalate</t>
        </is>
      </c>
      <c r="J118" t="inlineStr">
        <is>
          <t>Open</t>
        </is>
      </c>
    </row>
    <row r="119">
      <c r="A119" t="inlineStr">
        <is>
          <t>2026-04-24</t>
        </is>
      </c>
      <c r="B119" t="inlineStr">
        <is>
          <t>2026-0424-002</t>
        </is>
      </c>
      <c r="C119" t="inlineStr">
        <is>
          <t>Google Antigravity Prompt-Injection-to-RCE - find_by_name Pattern Flag Injection Escapes Sandbox</t>
        </is>
      </c>
      <c r="D119" t="inlineStr">
        <is>
          <t>Manage / Measure</t>
        </is>
      </c>
      <c r="G119" t="inlineStr">
        <is>
          <t>CRITICAL</t>
        </is>
      </c>
      <c r="I119" t="inlineStr">
        <is>
          <t>Escalate</t>
        </is>
      </c>
      <c r="J119" t="inlineStr">
        <is>
          <t>Open</t>
        </is>
      </c>
    </row>
    <row r="120">
      <c r="A120" t="inlineStr">
        <is>
          <t>2026-04-24</t>
        </is>
      </c>
      <c r="B120" t="inlineStr">
        <is>
          <t>2026-0424-003</t>
        </is>
      </c>
      <c r="C120" t="inlineStr">
        <is>
          <t>CVE-2026-22778 - vLLM RCE via Malicious Video URL (Unauthenticated Chain)</t>
        </is>
      </c>
      <c r="D120" t="inlineStr">
        <is>
          <t>Manage</t>
        </is>
      </c>
      <c r="G120" t="inlineStr">
        <is>
          <t>CRITICAL</t>
        </is>
      </c>
      <c r="I120" t="inlineStr">
        <is>
          <t>Escalate</t>
        </is>
      </c>
      <c r="J120" t="inlineStr">
        <is>
          <t>Open</t>
        </is>
      </c>
    </row>
    <row r="121">
      <c r="A121" t="inlineStr">
        <is>
          <t>2026-04-24</t>
        </is>
      </c>
      <c r="B121" t="inlineStr">
        <is>
          <t>2026-0424-004</t>
        </is>
      </c>
      <c r="C121" t="inlineStr">
        <is>
          <t>CVE-2026-22807 - vLLM auto_map Code Injection at Model Load (trust_remote_code Bypass)</t>
        </is>
      </c>
      <c r="D121" t="inlineStr">
        <is>
          <t>Manage</t>
        </is>
      </c>
      <c r="G121" t="inlineStr">
        <is>
          <t>CRITICAL</t>
        </is>
      </c>
      <c r="I121" t="inlineStr">
        <is>
          <t>Escalate</t>
        </is>
      </c>
      <c r="J121" t="inlineStr">
        <is>
          <t>Open</t>
        </is>
      </c>
    </row>
    <row r="122">
      <c r="A122" t="inlineStr">
        <is>
          <t>2026-04-24</t>
        </is>
      </c>
      <c r="B122" t="inlineStr">
        <is>
          <t>2026-0424-005</t>
        </is>
      </c>
      <c r="C122" t="inlineStr">
        <is>
          <t>Poetry Jailbreak - Universal Single-Shot Safety Bypass Across Frontier LLMs</t>
        </is>
      </c>
      <c r="D122" t="inlineStr">
        <is>
          <t>Measure</t>
        </is>
      </c>
      <c r="G122" t="inlineStr">
        <is>
          <t>HIGH</t>
        </is>
      </c>
      <c r="I122" t="inlineStr">
        <is>
          <t>Monitor</t>
        </is>
      </c>
      <c r="J122" t="inlineStr">
        <is>
          <t>Open</t>
        </is>
      </c>
    </row>
    <row r="123">
      <c r="A123" t="inlineStr">
        <is>
          <t>2026-04-24</t>
        </is>
      </c>
      <c r="B123" t="inlineStr">
        <is>
          <t>2026-0424-006</t>
        </is>
      </c>
      <c r="C123" t="inlineStr">
        <is>
          <t>Enterprise AI Chat Exposure - 46.5M Messages / 728K Files / 3.68M RAG Chunks</t>
        </is>
      </c>
      <c r="D123" t="inlineStr">
        <is>
          <t>Manage / Measure</t>
        </is>
      </c>
      <c r="G123" t="inlineStr">
        <is>
          <t>HIGH</t>
        </is>
      </c>
      <c r="I123" t="inlineStr">
        <is>
          <t>Investigate</t>
        </is>
      </c>
      <c r="J123" t="inlineStr">
        <is>
          <t>Open</t>
        </is>
      </c>
    </row>
    <row r="124">
      <c r="A124" t="inlineStr">
        <is>
          <t>2026-04-24</t>
        </is>
      </c>
      <c r="B124" t="inlineStr">
        <is>
          <t>2026-0424-007</t>
        </is>
      </c>
      <c r="C124" t="inlineStr">
        <is>
          <t>CrowdStrike 2026 Global Threat Report - AI Security Tools Hijacked at 90+ Organizations</t>
        </is>
      </c>
      <c r="D124" t="inlineStr">
        <is>
          <t>Govern / Manage</t>
        </is>
      </c>
      <c r="G124" t="inlineStr">
        <is>
          <t>HIGH</t>
        </is>
      </c>
      <c r="I124" t="inlineStr">
        <is>
          <t>Escalate</t>
        </is>
      </c>
      <c r="J124" t="inlineStr">
        <is>
          <t>Open</t>
        </is>
      </c>
    </row>
    <row r="125">
      <c r="A125" t="inlineStr">
        <is>
          <t>2026-04-24</t>
        </is>
      </c>
      <c r="B125" t="inlineStr">
        <is>
          <t>2026-0424-008</t>
        </is>
      </c>
      <c r="C125" t="inlineStr">
        <is>
          <t>PhantomRaven - 126 Malicious npm Packages Exploiting AI Package Hallucination</t>
        </is>
      </c>
      <c r="D125" t="inlineStr">
        <is>
          <t>Manage</t>
        </is>
      </c>
      <c r="G125" t="inlineStr">
        <is>
          <t>HIGH</t>
        </is>
      </c>
      <c r="I125" t="inlineStr">
        <is>
          <t>Investigate</t>
        </is>
      </c>
      <c r="J125" t="inlineStr">
        <is>
          <t>Open</t>
        </is>
      </c>
    </row>
    <row r="126">
      <c r="A126" t="inlineStr">
        <is>
          <t>2026-04-24</t>
        </is>
      </c>
      <c r="B126" t="inlineStr">
        <is>
          <t>2026-0424-009</t>
        </is>
      </c>
      <c r="C126" t="inlineStr">
        <is>
          <t>Postmark Impersonation MCP Server - Silent BCC Exfiltration of Every Agent Email</t>
        </is>
      </c>
      <c r="D126" t="inlineStr">
        <is>
          <t>Manage</t>
        </is>
      </c>
      <c r="G126" t="inlineStr">
        <is>
          <t>HIGH</t>
        </is>
      </c>
      <c r="I126" t="inlineStr">
        <is>
          <t>Investigate</t>
        </is>
      </c>
      <c r="J126" t="inlineStr">
        <is>
          <t>Open</t>
        </is>
      </c>
    </row>
    <row r="127">
      <c r="A127" t="inlineStr">
        <is>
          <t>2026-04-24</t>
        </is>
      </c>
      <c r="B127" t="inlineStr">
        <is>
          <t>2026-0424-010</t>
        </is>
      </c>
      <c r="C127" t="inlineStr">
        <is>
          <t>CVE-2026-34753 - vLLM Batch Runner SSRF via download_bytes_from_url</t>
        </is>
      </c>
      <c r="D127" t="inlineStr">
        <is>
          <t>Manage</t>
        </is>
      </c>
      <c r="G127" t="inlineStr">
        <is>
          <t>HIGH</t>
        </is>
      </c>
      <c r="I127" t="inlineStr">
        <is>
          <t>Escalate</t>
        </is>
      </c>
      <c r="J127" t="inlineStr">
        <is>
          <t>Open</t>
        </is>
      </c>
    </row>
    <row r="128">
      <c r="A128" t="inlineStr">
        <is>
          <t>2026-04-24</t>
        </is>
      </c>
      <c r="B128" t="inlineStr">
        <is>
          <t>2026-0424-011</t>
        </is>
      </c>
      <c r="C128" t="inlineStr">
        <is>
          <t>CISA KEV Adds 8 Exploited Flaws - Cisco Catalyst SD-WAN Trio, April 23/May 4 Federal Deadlines</t>
        </is>
      </c>
      <c r="D128" t="inlineStr">
        <is>
          <t>Manage</t>
        </is>
      </c>
      <c r="G128" t="inlineStr">
        <is>
          <t>HIGH</t>
        </is>
      </c>
      <c r="I128" t="inlineStr">
        <is>
          <t>Escalate</t>
        </is>
      </c>
      <c r="J128" t="inlineStr">
        <is>
          <t>Open</t>
        </is>
      </c>
    </row>
    <row r="129">
      <c r="A129" t="inlineStr">
        <is>
          <t>2026-04-24</t>
        </is>
      </c>
      <c r="B129" t="inlineStr">
        <is>
          <t>2026-0424-012</t>
        </is>
      </c>
      <c r="C129" t="inlineStr">
        <is>
          <t>Microsoft April 2026 Patch Tuesday - 160+ Fixes Including 2 Zero-Days</t>
        </is>
      </c>
      <c r="D129" t="inlineStr">
        <is>
          <t>Manage</t>
        </is>
      </c>
      <c r="G129" t="inlineStr">
        <is>
          <t>MEDIUM</t>
        </is>
      </c>
      <c r="I129" t="inlineStr">
        <is>
          <t>Monitor</t>
        </is>
      </c>
      <c r="J129" t="inlineStr">
        <is>
          <t>Open</t>
        </is>
      </c>
    </row>
    <row r="130">
      <c r="A130" t="inlineStr">
        <is>
          <t>2026-04-24</t>
        </is>
      </c>
      <c r="B130" t="inlineStr">
        <is>
          <t>2026-0424-013</t>
        </is>
      </c>
      <c r="C130" t="inlineStr">
        <is>
          <t>AI Voice-Clone Scam Wave - 1-in-10 Americans Affected, Congressional Hearings Open</t>
        </is>
      </c>
      <c r="D130" t="inlineStr">
        <is>
          <t>Govern / Measure</t>
        </is>
      </c>
      <c r="G130" t="inlineStr">
        <is>
          <t>MEDIUM</t>
        </is>
      </c>
      <c r="I130" t="inlineStr">
        <is>
          <t>Monitor</t>
        </is>
      </c>
      <c r="J130" t="inlineStr">
        <is>
          <t>Open</t>
        </is>
      </c>
    </row>
    <row r="131">
      <c r="A131" t="inlineStr">
        <is>
          <t>2026-04-24</t>
        </is>
      </c>
      <c r="B131" t="inlineStr">
        <is>
          <t>2026-0424-014</t>
        </is>
      </c>
      <c r="C131" t="inlineStr">
        <is>
          <t>IBM Announces Agentic Attack Defense Measures (Apr 15, 2026)</t>
        </is>
      </c>
      <c r="D131" t="inlineStr">
        <is>
          <t>Govern / Manage</t>
        </is>
      </c>
      <c r="G131" t="inlineStr">
        <is>
          <t>INFO</t>
        </is>
      </c>
      <c r="I131" t="inlineStr">
        <is>
          <t>Monitor</t>
        </is>
      </c>
      <c r="J131" t="inlineStr">
        <is>
          <t>Open</t>
        </is>
      </c>
    </row>
    <row r="132">
      <c r="A132" t="inlineStr">
        <is>
          <t>2026-04-24</t>
        </is>
      </c>
      <c r="B132" t="inlineStr">
        <is>
          <t>2026-0424-015</t>
        </is>
      </c>
      <c r="C132" t="inlineStr">
        <is>
          <t>MITRE ATLAS AI Service API Technique (AML.T0096) - SesameOp Case Study Promoted</t>
        </is>
      </c>
      <c r="D132" t="inlineStr">
        <is>
          <t>Map / Measure</t>
        </is>
      </c>
      <c r="G132" t="inlineStr">
        <is>
          <t>INFO</t>
        </is>
      </c>
      <c r="I132" t="inlineStr">
        <is>
          <t>Monitor</t>
        </is>
      </c>
      <c r="J132" t="inlineStr">
        <is>
          <t>Open</t>
        </is>
      </c>
    </row>
    <row r="133">
      <c r="A133" t="inlineStr">
        <is>
          <t>2026-04-24</t>
        </is>
      </c>
      <c r="B133" t="inlineStr">
        <is>
          <t>2026-0424-016</t>
        </is>
      </c>
      <c r="C133" t="inlineStr">
        <is>
          <t>NIST SP 800-53 COSAiS Control Overlays for AI - Q3 2026 Draft Window</t>
        </is>
      </c>
      <c r="D133" t="inlineStr">
        <is>
          <t>Govern</t>
        </is>
      </c>
      <c r="G133" t="inlineStr">
        <is>
          <t>INFO</t>
        </is>
      </c>
      <c r="I133" t="inlineStr">
        <is>
          <t>Submit Comments</t>
        </is>
      </c>
      <c r="J133" t="inlineStr">
        <is>
          <t>Open</t>
        </is>
      </c>
    </row>
    <row r="134">
      <c r="A134" t="inlineStr">
        <is>
          <t>2026-04-24</t>
        </is>
      </c>
      <c r="B134" t="inlineStr">
        <is>
          <t>2026-0424-017</t>
        </is>
      </c>
      <c r="C134" t="inlineStr">
        <is>
          <t>LiteLLM Security Hardening - CVE-2026-30623 Fixed in v1.83.6-nightly / v1.83.7-stable</t>
        </is>
      </c>
      <c r="D134" t="inlineStr">
        <is>
          <t>Manage</t>
        </is>
      </c>
      <c r="G134" t="inlineStr">
        <is>
          <t>INFO</t>
        </is>
      </c>
      <c r="I134" t="inlineStr">
        <is>
          <t>Monitor</t>
        </is>
      </c>
      <c r="J134" t="inlineStr">
        <is>
          <t>Open</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J134"/>
  <sheetViews>
    <sheetView zoomScaleNormal="100" workbookViewId="0">
      <pane ySplit="1" topLeftCell="A2" activePane="bottomLeft" state="frozen"/>
      <selection pane="bottomLeft" activeCell="C4" sqref="C4"/>
    </sheetView>
  </sheetViews>
  <sheetFormatPr baseColWidth="8" defaultColWidth="8.6328125" defaultRowHeight="14.5"/>
  <cols>
    <col width="12" customWidth="1" min="1" max="1"/>
    <col width="15" customWidth="1" min="2" max="2"/>
    <col width="35" customWidth="1" min="3" max="3"/>
    <col width="15" customWidth="1" min="4" max="4"/>
    <col width="18" customWidth="1" min="5" max="5"/>
    <col width="20" customWidth="1" min="6" max="6"/>
    <col width="10" customWidth="1" min="7" max="7"/>
    <col width="12" customWidth="1" min="8" max="8"/>
    <col width="20" customWidth="1" min="9" max="10"/>
  </cols>
  <sheetData>
    <row r="1" ht="28" customHeight="1">
      <c r="A1" s="2" t="inlineStr">
        <is>
          <t>Date</t>
        </is>
      </c>
      <c r="B1" s="2" t="inlineStr">
        <is>
          <t>Item ID</t>
        </is>
      </c>
      <c r="C1" s="2" t="inlineStr">
        <is>
          <t>Threat/Item Title</t>
        </is>
      </c>
      <c r="D1" s="2" t="inlineStr">
        <is>
          <t>Control Family</t>
        </is>
      </c>
      <c r="E1" s="2" t="inlineStr">
        <is>
          <t>Specific Control</t>
        </is>
      </c>
      <c r="F1" s="2" t="inlineStr">
        <is>
          <t>Control Enhancement</t>
        </is>
      </c>
      <c r="G1" s="2" t="inlineStr">
        <is>
          <t>Priority</t>
        </is>
      </c>
      <c r="H1" s="2" t="inlineStr">
        <is>
          <t>Baseline</t>
        </is>
      </c>
      <c r="I1" s="2" t="inlineStr">
        <is>
          <t>Implementation Status</t>
        </is>
      </c>
      <c r="J1" s="2" t="inlineStr">
        <is>
          <t>Assessment Notes</t>
        </is>
      </c>
    </row>
    <row r="2">
      <c r="A2" t="inlineStr">
        <is>
          <t>2026-04-07</t>
        </is>
      </c>
      <c r="B2" t="inlineStr">
        <is>
          <t>2026-0407-001</t>
        </is>
      </c>
      <c r="C2" t="inlineStr">
        <is>
          <t>OpenClaw AI Agent Framework Compromise</t>
        </is>
      </c>
      <c r="E2" t="inlineStr">
        <is>
          <t>SA-12,SR-3</t>
        </is>
      </c>
      <c r="G2" t="inlineStr">
        <is>
          <t>P1</t>
        </is>
      </c>
      <c r="H2" t="inlineStr">
        <is>
          <t>Moderate</t>
        </is>
      </c>
      <c r="I2" t="inlineStr">
        <is>
          <t>In Progress</t>
        </is>
      </c>
    </row>
    <row r="3">
      <c r="A3" t="inlineStr">
        <is>
          <t>2026-04-07</t>
        </is>
      </c>
      <c r="B3" t="inlineStr">
        <is>
          <t>2026-0407-002</t>
        </is>
      </c>
      <c r="C3" t="inlineStr">
        <is>
          <t>LiteLLM CI Pipeline Backdoor</t>
        </is>
      </c>
      <c r="E3" t="inlineStr">
        <is>
          <t>SA-11,SA-12</t>
        </is>
      </c>
      <c r="G3" t="inlineStr">
        <is>
          <t>P1</t>
        </is>
      </c>
      <c r="H3" t="inlineStr">
        <is>
          <t>Moderate</t>
        </is>
      </c>
      <c r="I3" t="inlineStr">
        <is>
          <t>In Progress</t>
        </is>
      </c>
    </row>
    <row r="4">
      <c r="A4" t="inlineStr">
        <is>
          <t>2026-04-07</t>
        </is>
      </c>
      <c r="B4" t="inlineStr">
        <is>
          <t>2026-0407-003</t>
        </is>
      </c>
      <c r="C4" t="inlineStr">
        <is>
          <t>Langflow Zero-Auth Compromise</t>
        </is>
      </c>
      <c r="E4" t="inlineStr">
        <is>
          <t>AC-3,SI-2</t>
        </is>
      </c>
      <c r="G4" t="inlineStr">
        <is>
          <t>P2</t>
        </is>
      </c>
      <c r="H4" t="inlineStr">
        <is>
          <t>Moderate</t>
        </is>
      </c>
      <c r="I4" t="inlineStr">
        <is>
          <t>In Progress</t>
        </is>
      </c>
    </row>
    <row r="5">
      <c r="A5" t="inlineStr">
        <is>
          <t>2026-04-07</t>
        </is>
      </c>
      <c r="B5" t="inlineStr">
        <is>
          <t>2026-0407-004</t>
        </is>
      </c>
      <c r="C5" t="inlineStr">
        <is>
          <t>Prompt Injection 73% Production Rate</t>
        </is>
      </c>
      <c r="E5" t="inlineStr">
        <is>
          <t>SI-10</t>
        </is>
      </c>
      <c r="G5" t="inlineStr">
        <is>
          <t>P2</t>
        </is>
      </c>
      <c r="H5" t="inlineStr">
        <is>
          <t>Moderate</t>
        </is>
      </c>
      <c r="I5" t="inlineStr">
        <is>
          <t>In Progress</t>
        </is>
      </c>
    </row>
    <row r="6">
      <c r="A6" t="inlineStr">
        <is>
          <t>2026-04-07</t>
        </is>
      </c>
      <c r="B6" t="inlineStr">
        <is>
          <t>2026-0407-005</t>
        </is>
      </c>
      <c r="C6" t="inlineStr">
        <is>
          <t>MCP Security Vulnerabilities</t>
        </is>
      </c>
      <c r="E6" t="inlineStr">
        <is>
          <t>SA-12,SI-7</t>
        </is>
      </c>
      <c r="G6" t="inlineStr">
        <is>
          <t>P2</t>
        </is>
      </c>
      <c r="H6" t="inlineStr">
        <is>
          <t>Moderate</t>
        </is>
      </c>
      <c r="I6" t="inlineStr">
        <is>
          <t>In Progress</t>
        </is>
      </c>
    </row>
    <row r="7">
      <c r="A7" t="inlineStr">
        <is>
          <t>2026-04-07</t>
        </is>
      </c>
      <c r="B7" t="inlineStr">
        <is>
          <t>2026-0407-006</t>
        </is>
      </c>
      <c r="C7" t="inlineStr">
        <is>
          <t>RAG Poisoning Attacks</t>
        </is>
      </c>
      <c r="E7" t="inlineStr">
        <is>
          <t>SI-7,SI-10</t>
        </is>
      </c>
      <c r="G7" t="inlineStr">
        <is>
          <t>P3</t>
        </is>
      </c>
      <c r="H7" t="inlineStr">
        <is>
          <t>Moderate</t>
        </is>
      </c>
      <c r="I7" t="inlineStr">
        <is>
          <t>In Progress</t>
        </is>
      </c>
    </row>
    <row r="8">
      <c r="A8" t="inlineStr">
        <is>
          <t>2026-04-07</t>
        </is>
      </c>
      <c r="B8" t="inlineStr">
        <is>
          <t>2026-0407-007</t>
        </is>
      </c>
      <c r="C8" t="inlineStr">
        <is>
          <t>Drift Protocol $285M Theft (DPRK)</t>
        </is>
      </c>
      <c r="E8" t="inlineStr">
        <is>
          <t>IR-4,SC-7</t>
        </is>
      </c>
      <c r="G8" t="inlineStr">
        <is>
          <t>P1</t>
        </is>
      </c>
      <c r="H8" t="inlineStr">
        <is>
          <t>Moderate</t>
        </is>
      </c>
      <c r="I8" t="inlineStr">
        <is>
          <t>In Progress</t>
        </is>
      </c>
    </row>
    <row r="9">
      <c r="A9" t="inlineStr">
        <is>
          <t>2026-04-07</t>
        </is>
      </c>
      <c r="B9" t="inlineStr">
        <is>
          <t>2026-0407-008</t>
        </is>
      </c>
      <c r="C9" t="inlineStr">
        <is>
          <t>Snowflake Mass Breach</t>
        </is>
      </c>
      <c r="E9" t="inlineStr">
        <is>
          <t>IA-2,IA-5</t>
        </is>
      </c>
      <c r="G9" t="inlineStr">
        <is>
          <t>P1</t>
        </is>
      </c>
      <c r="H9" t="inlineStr">
        <is>
          <t>Moderate</t>
        </is>
      </c>
      <c r="I9" t="inlineStr">
        <is>
          <t>In Progress</t>
        </is>
      </c>
    </row>
    <row r="10">
      <c r="A10" t="inlineStr">
        <is>
          <t>2026-04-07</t>
        </is>
      </c>
      <c r="B10" t="inlineStr">
        <is>
          <t>2026-0407-009</t>
        </is>
      </c>
      <c r="C10" t="inlineStr">
        <is>
          <t>Fortinet FortiClient EMS Zero-Day</t>
        </is>
      </c>
      <c r="E10" t="inlineStr">
        <is>
          <t>SI-2,SI-5</t>
        </is>
      </c>
      <c r="G10" t="inlineStr">
        <is>
          <t>P1</t>
        </is>
      </c>
      <c r="H10" t="inlineStr">
        <is>
          <t>Moderate</t>
        </is>
      </c>
      <c r="I10" t="inlineStr">
        <is>
          <t>In Progress</t>
        </is>
      </c>
    </row>
    <row r="11">
      <c r="A11" t="inlineStr">
        <is>
          <t>2026-04-07</t>
        </is>
      </c>
      <c r="B11" t="inlineStr">
        <is>
          <t>2026-0407-010</t>
        </is>
      </c>
      <c r="C11" t="inlineStr">
        <is>
          <t>97% Cloud-Native Incidents (Red Hat)</t>
        </is>
      </c>
      <c r="E11" t="inlineStr">
        <is>
          <t>CM-6,CM-7</t>
        </is>
      </c>
      <c r="G11" t="inlineStr">
        <is>
          <t>P2</t>
        </is>
      </c>
      <c r="H11" t="inlineStr">
        <is>
          <t>Moderate</t>
        </is>
      </c>
      <c r="I11" t="inlineStr">
        <is>
          <t>In Progress</t>
        </is>
      </c>
    </row>
    <row r="12">
      <c r="A12" t="inlineStr">
        <is>
          <t>2026-04-07</t>
        </is>
      </c>
      <c r="B12" t="inlineStr">
        <is>
          <t>2026-0407-011</t>
        </is>
      </c>
      <c r="C12" t="inlineStr">
        <is>
          <t>Iran Password Spraying M365</t>
        </is>
      </c>
      <c r="E12" t="inlineStr">
        <is>
          <t>IA-5,SI-4</t>
        </is>
      </c>
      <c r="G12" t="inlineStr">
        <is>
          <t>P2</t>
        </is>
      </c>
      <c r="H12" t="inlineStr">
        <is>
          <t>Moderate</t>
        </is>
      </c>
      <c r="I12" t="inlineStr">
        <is>
          <t>In Progress</t>
        </is>
      </c>
    </row>
    <row r="13">
      <c r="A13" t="inlineStr">
        <is>
          <t>2026-04-07</t>
        </is>
      </c>
      <c r="B13" t="inlineStr">
        <is>
          <t>2026-0407-012</t>
        </is>
      </c>
      <c r="C13" t="inlineStr">
        <is>
          <t>Flowise AI Platform Flaw</t>
        </is>
      </c>
      <c r="E13" t="inlineStr">
        <is>
          <t>SI-2</t>
        </is>
      </c>
      <c r="G13" t="inlineStr">
        <is>
          <t>P2</t>
        </is>
      </c>
      <c r="H13" t="inlineStr">
        <is>
          <t>Moderate</t>
        </is>
      </c>
      <c r="I13" t="inlineStr">
        <is>
          <t>In Progress</t>
        </is>
      </c>
    </row>
    <row r="14">
      <c r="A14" t="inlineStr">
        <is>
          <t>2026-04-07</t>
        </is>
      </c>
      <c r="B14" t="inlineStr">
        <is>
          <t>2026-0407-013</t>
        </is>
      </c>
      <c r="C14" t="inlineStr">
        <is>
          <t>Healthcare Ransomware (Interlock)</t>
        </is>
      </c>
      <c r="E14" t="inlineStr">
        <is>
          <t>IR-4,CP-10</t>
        </is>
      </c>
      <c r="G14" t="inlineStr">
        <is>
          <t>P3</t>
        </is>
      </c>
      <c r="H14" t="inlineStr">
        <is>
          <t>Moderate</t>
        </is>
      </c>
      <c r="I14" t="inlineStr">
        <is>
          <t>In Progress</t>
        </is>
      </c>
    </row>
    <row r="15">
      <c r="A15" t="inlineStr">
        <is>
          <t>2026-04-07</t>
        </is>
      </c>
      <c r="B15" t="inlineStr">
        <is>
          <t>2026-0407-014</t>
        </is>
      </c>
      <c r="C15" t="inlineStr">
        <is>
          <t>OWASP GenAI Red Teaming Initiative</t>
        </is>
      </c>
      <c r="E15" t="inlineStr">
        <is>
          <t>CA-8</t>
        </is>
      </c>
      <c r="G15" t="inlineStr">
        <is>
          <t>P3</t>
        </is>
      </c>
      <c r="H15" t="inlineStr">
        <is>
          <t>Moderate</t>
        </is>
      </c>
      <c r="I15" t="inlineStr">
        <is>
          <t>In Progress</t>
        </is>
      </c>
    </row>
    <row r="16">
      <c r="A16" t="inlineStr">
        <is>
          <t>2026-04-07</t>
        </is>
      </c>
      <c r="B16" t="inlineStr">
        <is>
          <t>2026-0407-015</t>
        </is>
      </c>
      <c r="C16" t="inlineStr">
        <is>
          <t>NIST Cyber AI Profile / COSAiS</t>
        </is>
      </c>
      <c r="E16" t="inlineStr">
        <is>
          <t>PL-2,SA-8</t>
        </is>
      </c>
      <c r="G16" t="inlineStr">
        <is>
          <t>P3</t>
        </is>
      </c>
      <c r="H16" t="inlineStr">
        <is>
          <t>Moderate</t>
        </is>
      </c>
      <c r="I16" t="inlineStr">
        <is>
          <t>In Progress</t>
        </is>
      </c>
    </row>
    <row r="17">
      <c r="A17" t="inlineStr">
        <is>
          <t>2026-04-08</t>
        </is>
      </c>
      <c r="B17" t="inlineStr">
        <is>
          <t>2026-0408-001</t>
        </is>
      </c>
      <c r="C17" t="inlineStr">
        <is>
          <t>Axios NPM Package Hijack — RAT Deployment</t>
        </is>
      </c>
      <c r="E17" t="inlineStr">
        <is>
          <t>SA-12, SR-3</t>
        </is>
      </c>
      <c r="G17" t="inlineStr">
        <is>
          <t>P1</t>
        </is>
      </c>
      <c r="H17" t="inlineStr">
        <is>
          <t>High</t>
        </is>
      </c>
    </row>
    <row r="18">
      <c r="A18" t="inlineStr">
        <is>
          <t>2026-04-08</t>
        </is>
      </c>
      <c r="B18" t="inlineStr">
        <is>
          <t>2026-0408-002</t>
        </is>
      </c>
      <c r="C18" t="inlineStr">
        <is>
          <t>LiteLLM PyPI Infostealer (TeamPCP)</t>
        </is>
      </c>
      <c r="E18" t="inlineStr">
        <is>
          <t>SA-11, SA-12</t>
        </is>
      </c>
      <c r="G18" t="inlineStr">
        <is>
          <t>P1</t>
        </is>
      </c>
      <c r="H18" t="inlineStr">
        <is>
          <t>High</t>
        </is>
      </c>
    </row>
    <row r="19">
      <c r="A19" t="inlineStr">
        <is>
          <t>2026-04-08</t>
        </is>
      </c>
      <c r="B19" t="inlineStr">
        <is>
          <t>2026-0408-003</t>
        </is>
      </c>
      <c r="C19" t="inlineStr">
        <is>
          <t>Citrix NetScaler ADC/Gateway CVE-2026-3055</t>
        </is>
      </c>
      <c r="E19" t="inlineStr">
        <is>
          <t>SI-2, SI-5</t>
        </is>
      </c>
      <c r="G19" t="inlineStr">
        <is>
          <t>P1</t>
        </is>
      </c>
      <c r="H19" t="inlineStr">
        <is>
          <t>High</t>
        </is>
      </c>
    </row>
    <row r="20">
      <c r="A20" t="inlineStr">
        <is>
          <t>2026-04-08</t>
        </is>
      </c>
      <c r="B20" t="inlineStr">
        <is>
          <t>2026-0408-004</t>
        </is>
      </c>
      <c r="C20" t="inlineStr">
        <is>
          <t>ChipSoft Healthcare Ransomware — 80% Dutch Hospitals</t>
        </is>
      </c>
      <c r="E20" t="inlineStr">
        <is>
          <t>IR-4, CP-10</t>
        </is>
      </c>
      <c r="G20" t="inlineStr">
        <is>
          <t>P1</t>
        </is>
      </c>
      <c r="H20" t="inlineStr">
        <is>
          <t>High</t>
        </is>
      </c>
    </row>
    <row r="21">
      <c r="A21" t="inlineStr">
        <is>
          <t>2026-04-08</t>
        </is>
      </c>
      <c r="B21" t="inlineStr">
        <is>
          <t>2026-0408-005</t>
        </is>
      </c>
      <c r="C21" t="inlineStr">
        <is>
          <t>LLMjacking — Operation Bizarre Bazaar</t>
        </is>
      </c>
      <c r="E21" t="inlineStr">
        <is>
          <t>AC-3, IA-2</t>
        </is>
      </c>
      <c r="G21" t="inlineStr">
        <is>
          <t>P2</t>
        </is>
      </c>
      <c r="H21" t="inlineStr">
        <is>
          <t>Moderate</t>
        </is>
      </c>
    </row>
    <row r="22">
      <c r="A22" t="inlineStr">
        <is>
          <t>2026-04-08</t>
        </is>
      </c>
      <c r="B22" t="inlineStr">
        <is>
          <t>2026-0408-006</t>
        </is>
      </c>
      <c r="C22" t="inlineStr">
        <is>
          <t>MCP Sampling Attack Vectors (Unit42)</t>
        </is>
      </c>
      <c r="E22" t="inlineStr">
        <is>
          <t>SA-12, SI-7</t>
        </is>
      </c>
      <c r="G22" t="inlineStr">
        <is>
          <t>P2</t>
        </is>
      </c>
      <c r="H22" t="inlineStr">
        <is>
          <t>Moderate</t>
        </is>
      </c>
    </row>
    <row r="23">
      <c r="A23" t="inlineStr">
        <is>
          <t>2026-04-08</t>
        </is>
      </c>
      <c r="B23" t="inlineStr">
        <is>
          <t>2026-0408-007</t>
        </is>
      </c>
      <c r="C23" t="inlineStr">
        <is>
          <t>Shadow AI — Primary Enterprise Data Leakage Vector</t>
        </is>
      </c>
      <c r="E23" t="inlineStr">
        <is>
          <t>CM-8, PM-5</t>
        </is>
      </c>
      <c r="G23" t="inlineStr">
        <is>
          <t>P2</t>
        </is>
      </c>
      <c r="H23" t="inlineStr">
        <is>
          <t>Moderate</t>
        </is>
      </c>
    </row>
    <row r="24">
      <c r="A24" t="inlineStr">
        <is>
          <t>2026-04-08</t>
        </is>
      </c>
      <c r="B24" t="inlineStr">
        <is>
          <t>2026-0408-008</t>
        </is>
      </c>
      <c r="C24" t="inlineStr">
        <is>
          <t>Agentic AI Security Gap — 83% Deploy, 29% Ready</t>
        </is>
      </c>
      <c r="E24" t="inlineStr">
        <is>
          <t>PL-2, RA-5</t>
        </is>
      </c>
      <c r="G24" t="inlineStr">
        <is>
          <t>P2</t>
        </is>
      </c>
      <c r="H24" t="inlineStr">
        <is>
          <t>Moderate</t>
        </is>
      </c>
    </row>
    <row r="25">
      <c r="A25" t="inlineStr">
        <is>
          <t>2026-04-08</t>
        </is>
      </c>
      <c r="B25" t="inlineStr">
        <is>
          <t>2026-0408-009</t>
        </is>
      </c>
      <c r="C25" t="inlineStr">
        <is>
          <t>Chaos Malware Cloud-Targeting Variant</t>
        </is>
      </c>
      <c r="E25" t="inlineStr">
        <is>
          <t>CM-6, SI-3</t>
        </is>
      </c>
      <c r="G25" t="inlineStr">
        <is>
          <t>P2</t>
        </is>
      </c>
      <c r="H25" t="inlineStr">
        <is>
          <t>Moderate</t>
        </is>
      </c>
    </row>
    <row r="26">
      <c r="A26" t="inlineStr">
        <is>
          <t>2026-04-08</t>
        </is>
      </c>
      <c r="B26" t="inlineStr">
        <is>
          <t>2026-0408-010</t>
        </is>
      </c>
      <c r="C26" t="inlineStr">
        <is>
          <t>Handala Ransomware Group Surge — 23 Victims March</t>
        </is>
      </c>
      <c r="E26" t="inlineStr">
        <is>
          <t>IR-4, CP-9</t>
        </is>
      </c>
      <c r="G26" t="inlineStr">
        <is>
          <t>P2</t>
        </is>
      </c>
      <c r="H26" t="inlineStr">
        <is>
          <t>Moderate</t>
        </is>
      </c>
    </row>
    <row r="27">
      <c r="A27" t="inlineStr">
        <is>
          <t>2026-04-08</t>
        </is>
      </c>
      <c r="B27" t="inlineStr">
        <is>
          <t>2026-0408-011</t>
        </is>
      </c>
      <c r="C27" t="inlineStr">
        <is>
          <t>LLM Agent Memory Poisoning Attacks</t>
        </is>
      </c>
      <c r="E27" t="inlineStr">
        <is>
          <t>SI-7, SI-10</t>
        </is>
      </c>
      <c r="G27" t="inlineStr">
        <is>
          <t>P3</t>
        </is>
      </c>
      <c r="H27" t="inlineStr">
        <is>
          <t>Moderate</t>
        </is>
      </c>
    </row>
    <row r="28">
      <c r="A28" t="inlineStr">
        <is>
          <t>2026-04-08</t>
        </is>
      </c>
      <c r="B28" t="inlineStr">
        <is>
          <t>2026-0408-012</t>
        </is>
      </c>
      <c r="C28" t="inlineStr">
        <is>
          <t>Middlesex County Government Systems Attack</t>
        </is>
      </c>
      <c r="E28" t="inlineStr">
        <is>
          <t>IR-4, IR-6</t>
        </is>
      </c>
      <c r="G28" t="inlineStr">
        <is>
          <t>P3</t>
        </is>
      </c>
      <c r="H28" t="inlineStr">
        <is>
          <t>Moderate</t>
        </is>
      </c>
    </row>
    <row r="29">
      <c r="A29" t="inlineStr">
        <is>
          <t>2026-04-08</t>
        </is>
      </c>
      <c r="B29" t="inlineStr">
        <is>
          <t>2026-0408-013</t>
        </is>
      </c>
      <c r="C29" t="inlineStr">
        <is>
          <t>Qilin RaaS — 1,800+ Cumulative Victims</t>
        </is>
      </c>
      <c r="E29" t="inlineStr">
        <is>
          <t>IR-4, SI-4</t>
        </is>
      </c>
      <c r="G29" t="inlineStr">
        <is>
          <t>P3</t>
        </is>
      </c>
      <c r="H29" t="inlineStr">
        <is>
          <t>Moderate</t>
        </is>
      </c>
    </row>
    <row r="30">
      <c r="A30" t="inlineStr">
        <is>
          <t>2026-04-08</t>
        </is>
      </c>
      <c r="B30" t="inlineStr">
        <is>
          <t>2026-0408-014</t>
        </is>
      </c>
      <c r="C30" t="inlineStr">
        <is>
          <t>OWASP Top 10 for Agentic Applications 2026</t>
        </is>
      </c>
      <c r="E30" t="inlineStr">
        <is>
          <t>CA-8, PL-2</t>
        </is>
      </c>
      <c r="G30" t="inlineStr">
        <is>
          <t>P3</t>
        </is>
      </c>
      <c r="H30" t="inlineStr">
        <is>
          <t>Moderate</t>
        </is>
      </c>
    </row>
    <row r="31">
      <c r="A31" t="inlineStr">
        <is>
          <t>2026-04-08</t>
        </is>
      </c>
      <c r="B31" t="inlineStr">
        <is>
          <t>2026-0408-015</t>
        </is>
      </c>
      <c r="C31" t="inlineStr">
        <is>
          <t>Cisco State of AI Security 2026 Report</t>
        </is>
      </c>
      <c r="E31" t="inlineStr">
        <is>
          <t>PL-2, RA-3</t>
        </is>
      </c>
      <c r="G31" t="inlineStr">
        <is>
          <t>P3</t>
        </is>
      </c>
      <c r="H31" t="inlineStr">
        <is>
          <t>Moderate</t>
        </is>
      </c>
    </row>
    <row r="32">
      <c r="A32" t="inlineStr">
        <is>
          <t>2026-04-09</t>
        </is>
      </c>
      <c r="B32" t="inlineStr">
        <is>
          <t>2026-0409-001</t>
        </is>
      </c>
      <c r="C32" t="inlineStr">
        <is>
          <t>EchoLeak: M365 Copilot Zero-Click Data Exfiltration</t>
        </is>
      </c>
      <c r="D32" t="inlineStr">
        <is>
          <t>SI</t>
        </is>
      </c>
      <c r="E32" t="inlineStr">
        <is>
          <t>SI-10, AC-3, IR-4</t>
        </is>
      </c>
      <c r="G32" t="inlineStr">
        <is>
          <t>P1</t>
        </is>
      </c>
      <c r="H32" t="inlineStr">
        <is>
          <t>High</t>
        </is>
      </c>
    </row>
    <row r="33">
      <c r="A33" t="inlineStr">
        <is>
          <t>2026-04-09</t>
        </is>
      </c>
      <c r="B33" t="inlineStr">
        <is>
          <t>2026-0409-002</t>
        </is>
      </c>
      <c r="C33" t="inlineStr">
        <is>
          <t>OpenClaw Malicious Marketplace Skills &amp; WebSocket Hijack</t>
        </is>
      </c>
      <c r="D33" t="inlineStr">
        <is>
          <t>SA</t>
        </is>
      </c>
      <c r="E33" t="inlineStr">
        <is>
          <t>SA-12, SR-3, SI-7</t>
        </is>
      </c>
      <c r="G33" t="inlineStr">
        <is>
          <t>P1</t>
        </is>
      </c>
      <c r="H33" t="inlineStr">
        <is>
          <t>High</t>
        </is>
      </c>
    </row>
    <row r="34">
      <c r="A34" t="inlineStr">
        <is>
          <t>2026-04-09</t>
        </is>
      </c>
      <c r="B34" t="inlineStr">
        <is>
          <t>2026-0409-003</t>
        </is>
      </c>
      <c r="C34" t="inlineStr">
        <is>
          <t>MCP Security Audit: 43% Vulnerable, 30+ CVEs in 60 Days</t>
        </is>
      </c>
      <c r="D34" t="inlineStr">
        <is>
          <t>SA</t>
        </is>
      </c>
      <c r="E34" t="inlineStr">
        <is>
          <t>SA-12, SI-7, AC-3, CM-7</t>
        </is>
      </c>
      <c r="G34" t="inlineStr">
        <is>
          <t>P2</t>
        </is>
      </c>
      <c r="H34" t="inlineStr">
        <is>
          <t>Moderate</t>
        </is>
      </c>
    </row>
    <row r="35">
      <c r="A35" t="inlineStr">
        <is>
          <t>2026-04-09</t>
        </is>
      </c>
      <c r="B35" t="inlineStr">
        <is>
          <t>2026-0409-004</t>
        </is>
      </c>
      <c r="C35" t="inlineStr">
        <is>
          <t>Indirect Prompt Injection — 80% SSH Key Exfiltration via Poisoned Email</t>
        </is>
      </c>
      <c r="D35" t="inlineStr">
        <is>
          <t>SI</t>
        </is>
      </c>
      <c r="E35" t="inlineStr">
        <is>
          <t>SI-10, SI-7, IR-4, AC-3</t>
        </is>
      </c>
      <c r="G35" t="inlineStr">
        <is>
          <t>P2</t>
        </is>
      </c>
      <c r="H35" t="inlineStr">
        <is>
          <t>Moderate</t>
        </is>
      </c>
    </row>
    <row r="36">
      <c r="A36" t="inlineStr">
        <is>
          <t>2026-04-09</t>
        </is>
      </c>
      <c r="B36" t="inlineStr">
        <is>
          <t>2026-0409-005</t>
        </is>
      </c>
      <c r="C36" t="inlineStr">
        <is>
          <t>arXiv:2604.03081 — Supply-Chain Poisoning in LLM Coding Agent Skill Ecosystems</t>
        </is>
      </c>
      <c r="D36" t="inlineStr">
        <is>
          <t>SA</t>
        </is>
      </c>
      <c r="E36" t="inlineStr">
        <is>
          <t>SA-12, SR-3, SR-4, SI-7</t>
        </is>
      </c>
      <c r="G36" t="inlineStr">
        <is>
          <t>P2</t>
        </is>
      </c>
      <c r="H36" t="inlineStr">
        <is>
          <t>Moderate</t>
        </is>
      </c>
    </row>
    <row r="37">
      <c r="A37" t="inlineStr">
        <is>
          <t>2026-04-09</t>
        </is>
      </c>
      <c r="B37" t="inlineStr">
        <is>
          <t>2026-0409-006</t>
        </is>
      </c>
      <c r="C37" t="inlineStr">
        <is>
          <t>AI Trading Agent Vulnerability — $45M Crypto Protocol Breach</t>
        </is>
      </c>
      <c r="D37" t="inlineStr">
        <is>
          <t>AC</t>
        </is>
      </c>
      <c r="E37" t="inlineStr">
        <is>
          <t>AC-3, AU-12, IR-4, SI-4</t>
        </is>
      </c>
      <c r="G37" t="inlineStr">
        <is>
          <t>P2</t>
        </is>
      </c>
      <c r="H37" t="inlineStr">
        <is>
          <t>Moderate</t>
        </is>
      </c>
    </row>
    <row r="38">
      <c r="A38" t="inlineStr">
        <is>
          <t>2026-04-09</t>
        </is>
      </c>
      <c r="B38" t="inlineStr">
        <is>
          <t>2026-0409-007</t>
        </is>
      </c>
      <c r="C38" t="inlineStr">
        <is>
          <t>Axios NPM Supply Chain — Google Attributes to DPRK UNC1069</t>
        </is>
      </c>
      <c r="D38" t="inlineStr">
        <is>
          <t>SA</t>
        </is>
      </c>
      <c r="E38" t="inlineStr">
        <is>
          <t>SA-12, SR-3, SR-6, SI-7</t>
        </is>
      </c>
      <c r="G38" t="inlineStr">
        <is>
          <t>P1</t>
        </is>
      </c>
      <c r="H38" t="inlineStr">
        <is>
          <t>High</t>
        </is>
      </c>
    </row>
    <row r="39">
      <c r="A39" t="inlineStr">
        <is>
          <t>2026-04-09</t>
        </is>
      </c>
      <c r="B39" t="inlineStr">
        <is>
          <t>2026-0409-008</t>
        </is>
      </c>
      <c r="C39" t="inlineStr">
        <is>
          <t>Mercor AI $10B Breach — 4TB Data via LiteLLM (Lapsus$ / TeamPCP)</t>
        </is>
      </c>
      <c r="D39" t="inlineStr">
        <is>
          <t>SA</t>
        </is>
      </c>
      <c r="E39" t="inlineStr">
        <is>
          <t>SA-12, IR-4, IR-6, SC-7</t>
        </is>
      </c>
      <c r="G39" t="inlineStr">
        <is>
          <t>P1</t>
        </is>
      </c>
      <c r="H39" t="inlineStr">
        <is>
          <t>High</t>
        </is>
      </c>
    </row>
    <row r="40">
      <c r="A40" t="inlineStr">
        <is>
          <t>2026-04-09</t>
        </is>
      </c>
      <c r="B40" t="inlineStr">
        <is>
          <t>2026-0409-009</t>
        </is>
      </c>
      <c r="C40" t="inlineStr">
        <is>
          <t>Trivy Scanner Compromise + Anthropic Source Code Leak (10-Day Wave)</t>
        </is>
      </c>
      <c r="D40" t="inlineStr">
        <is>
          <t>SA</t>
        </is>
      </c>
      <c r="E40" t="inlineStr">
        <is>
          <t>SA-12, SR-3, CM-3, SI-7</t>
        </is>
      </c>
      <c r="G40" t="inlineStr">
        <is>
          <t>P2</t>
        </is>
      </c>
      <c r="H40" t="inlineStr">
        <is>
          <t>Moderate</t>
        </is>
      </c>
    </row>
    <row r="41">
      <c r="A41" t="inlineStr">
        <is>
          <t>2026-04-09</t>
        </is>
      </c>
      <c r="B41" t="inlineStr">
        <is>
          <t>2026-0409-010</t>
        </is>
      </c>
      <c r="C41" t="inlineStr">
        <is>
          <t>Fortinet CVE-2026-35616 Patched — Pre-Auth RCE (CVSS 9.1, CISA KEV)</t>
        </is>
      </c>
      <c r="D41" t="inlineStr">
        <is>
          <t>SI</t>
        </is>
      </c>
      <c r="E41" t="inlineStr">
        <is>
          <t>SI-2, SI-5, RA-5</t>
        </is>
      </c>
      <c r="G41" t="inlineStr">
        <is>
          <t>P2</t>
        </is>
      </c>
      <c r="H41" t="inlineStr">
        <is>
          <t>Moderate</t>
        </is>
      </c>
    </row>
    <row r="42">
      <c r="A42" t="inlineStr">
        <is>
          <t>2026-04-09</t>
        </is>
      </c>
      <c r="B42" t="inlineStr">
        <is>
          <t>2026-0409-011</t>
        </is>
      </c>
      <c r="C42" t="inlineStr">
        <is>
          <t>Chrome Zero-Day CVE-2026-5281 — Use-After-Free in Dawn (4th in 2026)</t>
        </is>
      </c>
      <c r="D42" t="inlineStr">
        <is>
          <t>SI</t>
        </is>
      </c>
      <c r="E42" t="inlineStr">
        <is>
          <t>SI-2, SI-5, CM-6</t>
        </is>
      </c>
      <c r="G42" t="inlineStr">
        <is>
          <t>P2</t>
        </is>
      </c>
      <c r="H42" t="inlineStr">
        <is>
          <t>Moderate</t>
        </is>
      </c>
    </row>
    <row r="43">
      <c r="A43" t="inlineStr">
        <is>
          <t>2026-04-09</t>
        </is>
      </c>
      <c r="B43" t="inlineStr">
        <is>
          <t>2026-0409-012</t>
        </is>
      </c>
      <c r="C43" t="inlineStr">
        <is>
          <t>TrueConf Zero-Day CVE-2026-3502 — Tampered Update RCE (SE Asian Govts)</t>
        </is>
      </c>
      <c r="D43" t="inlineStr">
        <is>
          <t>SI</t>
        </is>
      </c>
      <c r="E43" t="inlineStr">
        <is>
          <t>SI-7, SI-2, SA-10</t>
        </is>
      </c>
      <c r="G43" t="inlineStr">
        <is>
          <t>P2</t>
        </is>
      </c>
      <c r="H43" t="inlineStr">
        <is>
          <t>Moderate</t>
        </is>
      </c>
    </row>
    <row r="44">
      <c r="A44" t="inlineStr">
        <is>
          <t>2026-04-09</t>
        </is>
      </c>
      <c r="B44" t="inlineStr">
        <is>
          <t>2026-0409-013</t>
        </is>
      </c>
      <c r="C44" t="inlineStr">
        <is>
          <t>CareCloud Healthcare Breach — EHR Compromised, 8-Hour Outage</t>
        </is>
      </c>
      <c r="D44" t="inlineStr">
        <is>
          <t>IR</t>
        </is>
      </c>
      <c r="E44" t="inlineStr">
        <is>
          <t>IR-4, IR-6, CP-10, AU-6</t>
        </is>
      </c>
      <c r="G44" t="inlineStr">
        <is>
          <t>P3</t>
        </is>
      </c>
      <c r="H44" t="inlineStr">
        <is>
          <t>Moderate</t>
        </is>
      </c>
    </row>
    <row r="45">
      <c r="A45" t="inlineStr">
        <is>
          <t>2026-04-09</t>
        </is>
      </c>
      <c r="B45" t="inlineStr">
        <is>
          <t>2026-0409-014</t>
        </is>
      </c>
      <c r="C45" t="inlineStr">
        <is>
          <t>DragonForce Ransomware — AT Packaging Breach (April 7, 2026)</t>
        </is>
      </c>
      <c r="D45" t="inlineStr">
        <is>
          <t>IR</t>
        </is>
      </c>
      <c r="E45" t="inlineStr">
        <is>
          <t>IR-4, CP-9, CP-10, SI-3</t>
        </is>
      </c>
      <c r="G45" t="inlineStr">
        <is>
          <t>P2</t>
        </is>
      </c>
      <c r="H45" t="inlineStr">
        <is>
          <t>Moderate</t>
        </is>
      </c>
    </row>
    <row r="46">
      <c r="A46" t="inlineStr">
        <is>
          <t>2026-04-09</t>
        </is>
      </c>
      <c r="B46" t="inlineStr">
        <is>
          <t>2026-0409-015</t>
        </is>
      </c>
      <c r="C46" t="inlineStr">
        <is>
          <t>April 2026 Ransomware Surge — 168 Victims / 43 Countries (Week 1)</t>
        </is>
      </c>
      <c r="D46" t="inlineStr">
        <is>
          <t>IR</t>
        </is>
      </c>
      <c r="E46" t="inlineStr">
        <is>
          <t>IR-4, CP-9, CP-10, SI-4</t>
        </is>
      </c>
      <c r="G46" t="inlineStr">
        <is>
          <t>P2</t>
        </is>
      </c>
      <c r="H46" t="inlineStr">
        <is>
          <t>Moderate</t>
        </is>
      </c>
    </row>
    <row r="47">
      <c r="A47" t="inlineStr">
        <is>
          <t>2026-04-09</t>
        </is>
      </c>
      <c r="B47" t="inlineStr">
        <is>
          <t>2026-0409-016</t>
        </is>
      </c>
      <c r="C47" t="inlineStr">
        <is>
          <t>NIST CAISI: AI Agent Red-Teaming Competition Insights</t>
        </is>
      </c>
      <c r="D47" t="inlineStr">
        <is>
          <t>CA</t>
        </is>
      </c>
      <c r="E47" t="inlineStr">
        <is>
          <t>CA-8, RA-5</t>
        </is>
      </c>
      <c r="G47" t="inlineStr">
        <is>
          <t>P3</t>
        </is>
      </c>
      <c r="H47" t="inlineStr">
        <is>
          <t>Low</t>
        </is>
      </c>
    </row>
    <row r="48">
      <c r="A48" t="inlineStr">
        <is>
          <t>2026-04-09</t>
        </is>
      </c>
      <c r="B48" t="inlineStr">
        <is>
          <t>2026-0409-017</t>
        </is>
      </c>
      <c r="C48" t="inlineStr">
        <is>
          <t>OWASP MCP Top 10 Published — Security Standard for MCP</t>
        </is>
      </c>
      <c r="D48" t="inlineStr">
        <is>
          <t>PL</t>
        </is>
      </c>
      <c r="E48" t="inlineStr">
        <is>
          <t>PL-2, CA-8, SA-8</t>
        </is>
      </c>
      <c r="G48" t="inlineStr">
        <is>
          <t>P3</t>
        </is>
      </c>
      <c r="H48" t="inlineStr">
        <is>
          <t>Low</t>
        </is>
      </c>
    </row>
    <row r="49">
      <c r="A49" t="inlineStr">
        <is>
          <t>2026-04-09</t>
        </is>
      </c>
      <c r="B49" t="inlineStr">
        <is>
          <t>2026-0409-018</t>
        </is>
      </c>
      <c r="C49" t="inlineStr">
        <is>
          <t>Votal AI RLHF Adversarial Attacker Model Launch (RSA 2026)</t>
        </is>
      </c>
      <c r="D49" t="inlineStr">
        <is>
          <t>CA</t>
        </is>
      </c>
      <c r="E49" t="inlineStr">
        <is>
          <t>CA-8, RA-5, SA-11</t>
        </is>
      </c>
      <c r="G49" t="inlineStr">
        <is>
          <t>P3</t>
        </is>
      </c>
      <c r="H49" t="inlineStr">
        <is>
          <t>Low</t>
        </is>
      </c>
    </row>
    <row r="50">
      <c r="A50" t="inlineStr">
        <is>
          <t>2026-04-10</t>
        </is>
      </c>
      <c r="B50" t="inlineStr">
        <is>
          <t>2026-0410-001</t>
        </is>
      </c>
      <c r="C50" t="inlineStr">
        <is>
          <t>Claude Mythos Preview — AI-Powered Zero-Day Discovery at Scale</t>
        </is>
      </c>
      <c r="E50" t="inlineStr">
        <is>
          <t>CA-8, RA-5, SI-2</t>
        </is>
      </c>
      <c r="G50" t="inlineStr">
        <is>
          <t>P1</t>
        </is>
      </c>
      <c r="H50" t="inlineStr">
        <is>
          <t>Moderate</t>
        </is>
      </c>
      <c r="I50" t="inlineStr">
        <is>
          <t>In Progress</t>
        </is>
      </c>
    </row>
    <row r="51">
      <c r="A51" t="inlineStr">
        <is>
          <t>2026-04-10</t>
        </is>
      </c>
      <c r="B51" t="inlineStr">
        <is>
          <t>2026-0410-002</t>
        </is>
      </c>
      <c r="C51" t="inlineStr">
        <is>
          <t>Prompt Injection Surge — 340% Increase in 2026, 88% Success Rate</t>
        </is>
      </c>
      <c r="E51" t="inlineStr">
        <is>
          <t>SI-10, AC-3, IR-4</t>
        </is>
      </c>
      <c r="G51" t="inlineStr">
        <is>
          <t>P1</t>
        </is>
      </c>
      <c r="H51" t="inlineStr">
        <is>
          <t>Moderate</t>
        </is>
      </c>
      <c r="I51" t="inlineStr">
        <is>
          <t>In Progress</t>
        </is>
      </c>
    </row>
    <row r="52">
      <c r="A52" t="inlineStr">
        <is>
          <t>2026-04-10</t>
        </is>
      </c>
      <c r="B52" t="inlineStr">
        <is>
          <t>2026-0410-003</t>
        </is>
      </c>
      <c r="C52" t="inlineStr">
        <is>
          <t>MCP Defense-Placement Taxonomy (arXiv:2604.07551)</t>
        </is>
      </c>
      <c r="E52" t="inlineStr">
        <is>
          <t>SA-12, SI-7, AC-3</t>
        </is>
      </c>
      <c r="G52" t="inlineStr">
        <is>
          <t>P1</t>
        </is>
      </c>
      <c r="H52" t="inlineStr">
        <is>
          <t>Moderate</t>
        </is>
      </c>
      <c r="I52" t="inlineStr">
        <is>
          <t>In Progress</t>
        </is>
      </c>
    </row>
    <row r="53">
      <c r="A53" t="inlineStr">
        <is>
          <t>2026-04-10</t>
        </is>
      </c>
      <c r="B53" t="inlineStr">
        <is>
          <t>2026-0410-004</t>
        </is>
      </c>
      <c r="C53" t="inlineStr">
        <is>
          <t>Agentic AI #1 Attack Vector — 70% Enterprise Incident Rate</t>
        </is>
      </c>
      <c r="E53" t="inlineStr">
        <is>
          <t>PL-2, RA-5, AC-3</t>
        </is>
      </c>
      <c r="G53" t="inlineStr">
        <is>
          <t>P1</t>
        </is>
      </c>
      <c r="H53" t="inlineStr">
        <is>
          <t>Moderate</t>
        </is>
      </c>
      <c r="I53" t="inlineStr">
        <is>
          <t>In Progress</t>
        </is>
      </c>
    </row>
    <row r="54">
      <c r="A54" t="inlineStr">
        <is>
          <t>2026-04-10</t>
        </is>
      </c>
      <c r="B54" t="inlineStr">
        <is>
          <t>2026-0410-005</t>
        </is>
      </c>
      <c r="C54" t="inlineStr">
        <is>
          <t>MCP Server Supply Chain — 67,057 Servers Audited, Widespread Hijackability</t>
        </is>
      </c>
      <c r="E54" t="inlineStr">
        <is>
          <t>SA-12, SR-3, SI-7</t>
        </is>
      </c>
      <c r="G54" t="inlineStr">
        <is>
          <t>P1</t>
        </is>
      </c>
      <c r="H54" t="inlineStr">
        <is>
          <t>Moderate</t>
        </is>
      </c>
      <c r="I54" t="inlineStr">
        <is>
          <t>In Progress</t>
        </is>
      </c>
    </row>
    <row r="55">
      <c r="A55" t="inlineStr">
        <is>
          <t>2026-04-10</t>
        </is>
      </c>
      <c r="B55" t="inlineStr">
        <is>
          <t>2026-0410-006</t>
        </is>
      </c>
      <c r="C55" t="inlineStr">
        <is>
          <t>LLM Security Risk Landscape 2026 — Shadow AI, RAG, and Memory Attacks</t>
        </is>
      </c>
      <c r="E55" t="inlineStr">
        <is>
          <t>SI-7, SI-10, CM-8</t>
        </is>
      </c>
      <c r="G55" t="inlineStr">
        <is>
          <t>P2</t>
        </is>
      </c>
      <c r="H55" t="inlineStr">
        <is>
          <t>Moderate</t>
        </is>
      </c>
      <c r="I55" t="inlineStr">
        <is>
          <t>In Progress</t>
        </is>
      </c>
    </row>
    <row r="56">
      <c r="A56" t="inlineStr">
        <is>
          <t>2026-04-10</t>
        </is>
      </c>
      <c r="B56" t="inlineStr">
        <is>
          <t>2026-0410-007</t>
        </is>
      </c>
      <c r="C56" t="inlineStr">
        <is>
          <t>Trivy Supply Chain Attack — European Commission 300GB Breach via TeamPCP</t>
        </is>
      </c>
      <c r="E56" t="inlineStr">
        <is>
          <t>SA-12, SR-3, SI-7, CM-3</t>
        </is>
      </c>
      <c r="G56" t="inlineStr">
        <is>
          <t>P1</t>
        </is>
      </c>
      <c r="H56" t="inlineStr">
        <is>
          <t>Moderate</t>
        </is>
      </c>
      <c r="I56" t="inlineStr">
        <is>
          <t>In Progress</t>
        </is>
      </c>
    </row>
    <row r="57">
      <c r="A57" t="inlineStr">
        <is>
          <t>2026-04-10</t>
        </is>
      </c>
      <c r="B57" t="inlineStr">
        <is>
          <t>2026-0410-008</t>
        </is>
      </c>
      <c r="C57" t="inlineStr">
        <is>
          <t>Axios NPM + LiteLLM + Trivy — Cascading Supply Chain Wave Continues</t>
        </is>
      </c>
      <c r="E57" t="inlineStr">
        <is>
          <t>SA-12, SR-3, SR-6, SI-7</t>
        </is>
      </c>
      <c r="G57" t="inlineStr">
        <is>
          <t>P1</t>
        </is>
      </c>
      <c r="H57" t="inlineStr">
        <is>
          <t>Moderate</t>
        </is>
      </c>
      <c r="I57" t="inlineStr">
        <is>
          <t>In Progress</t>
        </is>
      </c>
    </row>
    <row r="58">
      <c r="A58" t="inlineStr">
        <is>
          <t>2026-04-10</t>
        </is>
      </c>
      <c r="B58" t="inlineStr">
        <is>
          <t>2026-0410-009</t>
        </is>
      </c>
      <c r="C58" t="inlineStr">
        <is>
          <t>Mercor AI $10B Breach — 4TB Exfiltrated, Class Action Filed</t>
        </is>
      </c>
      <c r="E58" t="inlineStr">
        <is>
          <t>SA-12, IR-4, IR-6, SC-7</t>
        </is>
      </c>
      <c r="G58" t="inlineStr">
        <is>
          <t>P1</t>
        </is>
      </c>
      <c r="H58" t="inlineStr">
        <is>
          <t>Moderate</t>
        </is>
      </c>
      <c r="I58" t="inlineStr">
        <is>
          <t>In Progress</t>
        </is>
      </c>
    </row>
    <row r="59">
      <c r="A59" t="inlineStr">
        <is>
          <t>2026-04-10</t>
        </is>
      </c>
      <c r="B59" t="inlineStr">
        <is>
          <t>2026-0410-010</t>
        </is>
      </c>
      <c r="C59" t="inlineStr">
        <is>
          <t>Fortinet FortiClient EMS CVE-2026-35616 — Pre-Auth RCE (CVSS 9.8)</t>
        </is>
      </c>
      <c r="E59" t="inlineStr">
        <is>
          <t>SI-2, SI-5, RA-5</t>
        </is>
      </c>
      <c r="G59" t="inlineStr">
        <is>
          <t>P1</t>
        </is>
      </c>
      <c r="H59" t="inlineStr">
        <is>
          <t>Moderate</t>
        </is>
      </c>
      <c r="I59" t="inlineStr">
        <is>
          <t>In Progress</t>
        </is>
      </c>
    </row>
    <row r="60">
      <c r="A60" t="inlineStr">
        <is>
          <t>2026-04-10</t>
        </is>
      </c>
      <c r="B60" t="inlineStr">
        <is>
          <t>2026-0410-011</t>
        </is>
      </c>
      <c r="C60" t="inlineStr">
        <is>
          <t>Chrome Zero-Day CVE-2026-5281 + CVE-2026-2441 — 4th &amp; 5th Exploited in 2026</t>
        </is>
      </c>
      <c r="E60" t="inlineStr">
        <is>
          <t>SI-2, SI-5, CM-6</t>
        </is>
      </c>
      <c r="G60" t="inlineStr">
        <is>
          <t>P1</t>
        </is>
      </c>
      <c r="H60" t="inlineStr">
        <is>
          <t>Moderate</t>
        </is>
      </c>
      <c r="I60" t="inlineStr">
        <is>
          <t>In Progress</t>
        </is>
      </c>
    </row>
    <row r="61">
      <c r="A61" t="inlineStr">
        <is>
          <t>2026-04-10</t>
        </is>
      </c>
      <c r="B61" t="inlineStr">
        <is>
          <t>2026-0410-012</t>
        </is>
      </c>
      <c r="C61" t="inlineStr">
        <is>
          <t>TrueConf CVE-2026-3502 — SE Asian Government Network Espionage</t>
        </is>
      </c>
      <c r="E61" t="inlineStr">
        <is>
          <t>SI-7, SI-2, SA-10</t>
        </is>
      </c>
      <c r="G61" t="inlineStr">
        <is>
          <t>P1</t>
        </is>
      </c>
      <c r="H61" t="inlineStr">
        <is>
          <t>Moderate</t>
        </is>
      </c>
      <c r="I61" t="inlineStr">
        <is>
          <t>In Progress</t>
        </is>
      </c>
    </row>
    <row r="62">
      <c r="A62" t="inlineStr">
        <is>
          <t>2026-04-10</t>
        </is>
      </c>
      <c r="B62" t="inlineStr">
        <is>
          <t>2026-0410-013</t>
        </is>
      </c>
      <c r="C62" t="inlineStr">
        <is>
          <t>Healthcare Breach Cluster — CareCloud, ChipSoft, Interlock (3 in 10 Days)</t>
        </is>
      </c>
      <c r="E62" t="inlineStr">
        <is>
          <t>IR-4, IR-6, CP-10, AU-6</t>
        </is>
      </c>
      <c r="G62" t="inlineStr">
        <is>
          <t>P2</t>
        </is>
      </c>
      <c r="H62" t="inlineStr">
        <is>
          <t>Moderate</t>
        </is>
      </c>
      <c r="I62" t="inlineStr">
        <is>
          <t>In Progress</t>
        </is>
      </c>
    </row>
    <row r="63">
      <c r="A63" t="inlineStr">
        <is>
          <t>2026-04-10</t>
        </is>
      </c>
      <c r="B63" t="inlineStr">
        <is>
          <t>2026-0410-014</t>
        </is>
      </c>
      <c r="C63" t="inlineStr">
        <is>
          <t>April 2026 Ransomware Acceleration — 168 Victims, 43 Countries, Week 1</t>
        </is>
      </c>
      <c r="E63" t="inlineStr">
        <is>
          <t>IR-4, CP-9, CP-10, SI-4</t>
        </is>
      </c>
      <c r="G63" t="inlineStr">
        <is>
          <t>P1</t>
        </is>
      </c>
      <c r="H63" t="inlineStr">
        <is>
          <t>Moderate</t>
        </is>
      </c>
      <c r="I63" t="inlineStr">
        <is>
          <t>In Progress</t>
        </is>
      </c>
    </row>
    <row r="64">
      <c r="A64" t="inlineStr">
        <is>
          <t>2026-04-10</t>
        </is>
      </c>
      <c r="B64" t="inlineStr">
        <is>
          <t>2026-0410-015</t>
        </is>
      </c>
      <c r="C64" t="inlineStr">
        <is>
          <t>Adobe 13M Support Ticket &amp; Bug Bounty Data Breach</t>
        </is>
      </c>
      <c r="E64" t="inlineStr">
        <is>
          <t>IR-4, IR-6, AC-3</t>
        </is>
      </c>
      <c r="G64" t="inlineStr">
        <is>
          <t>P2</t>
        </is>
      </c>
      <c r="H64" t="inlineStr">
        <is>
          <t>Moderate</t>
        </is>
      </c>
      <c r="I64" t="inlineStr">
        <is>
          <t>In Progress</t>
        </is>
      </c>
    </row>
    <row r="65">
      <c r="A65" t="inlineStr">
        <is>
          <t>2026-04-10</t>
        </is>
      </c>
      <c r="B65" t="inlineStr">
        <is>
          <t>2026-0410-016</t>
        </is>
      </c>
      <c r="C65" t="inlineStr">
        <is>
          <t>NIST AI Red Teaming Protocol Standardization for Health AI</t>
        </is>
      </c>
      <c r="E65" t="inlineStr">
        <is>
          <t>CA-8, RA-5</t>
        </is>
      </c>
      <c r="G65" t="inlineStr">
        <is>
          <t>P2</t>
        </is>
      </c>
      <c r="H65" t="inlineStr">
        <is>
          <t>Moderate</t>
        </is>
      </c>
      <c r="I65" t="inlineStr">
        <is>
          <t>In Progress</t>
        </is>
      </c>
    </row>
    <row r="66">
      <c r="A66" t="inlineStr">
        <is>
          <t>2026-04-10</t>
        </is>
      </c>
      <c r="B66" t="inlineStr">
        <is>
          <t>2026-0410-017</t>
        </is>
      </c>
      <c r="C66" t="inlineStr">
        <is>
          <t>OWASP GenAI Red Teaming Guide v2.0 &amp; LLM Security Guide Updates</t>
        </is>
      </c>
      <c r="E66" t="inlineStr">
        <is>
          <t>CA-8, PL-2</t>
        </is>
      </c>
      <c r="G66" t="inlineStr">
        <is>
          <t>P2</t>
        </is>
      </c>
      <c r="H66" t="inlineStr">
        <is>
          <t>Moderate</t>
        </is>
      </c>
      <c r="I66" t="inlineStr">
        <is>
          <t>In Progress</t>
        </is>
      </c>
    </row>
    <row r="67">
      <c r="A67" t="inlineStr">
        <is>
          <t>2026-04-13</t>
        </is>
      </c>
      <c r="B67" t="inlineStr">
        <is>
          <t>2026-0413-001</t>
        </is>
      </c>
      <c r="C67" t="inlineStr">
        <is>
          <t>CVE-2026-23744 — MCPJam Inspector RCE (CVSS 9.8)</t>
        </is>
      </c>
      <c r="D67" t="inlineStr">
        <is>
          <t>System and Information Integrity</t>
        </is>
      </c>
      <c r="E67" t="inlineStr">
        <is>
          <t>SI-2, SI-7, AC-3, RA-5</t>
        </is>
      </c>
      <c r="G67" t="inlineStr">
        <is>
          <t>P1</t>
        </is>
      </c>
      <c r="H67" t="inlineStr">
        <is>
          <t>High</t>
        </is>
      </c>
      <c r="I67" t="inlineStr">
        <is>
          <t>In Progress</t>
        </is>
      </c>
    </row>
    <row r="68">
      <c r="A68" t="inlineStr">
        <is>
          <t>2026-04-13</t>
        </is>
      </c>
      <c r="B68" t="inlineStr">
        <is>
          <t>2026-0413-002</t>
        </is>
      </c>
      <c r="C68" t="inlineStr">
        <is>
          <t>GitHub MCP Integration Agent Hijack via Malicious Issues</t>
        </is>
      </c>
      <c r="D68" t="inlineStr">
        <is>
          <t>System and Information Integrity</t>
        </is>
      </c>
      <c r="E68" t="inlineStr">
        <is>
          <t>SI-10, AC-3, SC-7, IR-4</t>
        </is>
      </c>
      <c r="G68" t="inlineStr">
        <is>
          <t>P1</t>
        </is>
      </c>
      <c r="H68" t="inlineStr">
        <is>
          <t>High</t>
        </is>
      </c>
      <c r="I68" t="inlineStr">
        <is>
          <t>In Progress</t>
        </is>
      </c>
    </row>
    <row r="69">
      <c r="A69" t="inlineStr">
        <is>
          <t>2026-04-13</t>
        </is>
      </c>
      <c r="B69" t="inlineStr">
        <is>
          <t>2026-0413-003</t>
        </is>
      </c>
      <c r="C69" t="inlineStr">
        <is>
          <t>OWASP Top 10 for Agentic Applications 2026 — New Autonomous Risks</t>
        </is>
      </c>
      <c r="D69" t="inlineStr">
        <is>
          <t>Planning</t>
        </is>
      </c>
      <c r="E69" t="inlineStr">
        <is>
          <t>PL-2, RA-5, AC-3, CA-8</t>
        </is>
      </c>
      <c r="G69" t="inlineStr">
        <is>
          <t>P1</t>
        </is>
      </c>
      <c r="H69" t="inlineStr">
        <is>
          <t>Moderate</t>
        </is>
      </c>
      <c r="I69" t="inlineStr">
        <is>
          <t>In Progress</t>
        </is>
      </c>
    </row>
    <row r="70">
      <c r="A70" t="inlineStr">
        <is>
          <t>2026-04-13</t>
        </is>
      </c>
      <c r="B70" t="inlineStr">
        <is>
          <t>2026-0413-004</t>
        </is>
      </c>
      <c r="C70" t="inlineStr">
        <is>
          <t>LLMjacking Campaign Escalation — Exposed Endpoint Hijacking at Scale</t>
        </is>
      </c>
      <c r="D70" t="inlineStr">
        <is>
          <t>Access Control</t>
        </is>
      </c>
      <c r="E70" t="inlineStr">
        <is>
          <t>AC-3, SC-7, SI-4, CM-8</t>
        </is>
      </c>
      <c r="G70" t="inlineStr">
        <is>
          <t>P1</t>
        </is>
      </c>
      <c r="H70" t="inlineStr">
        <is>
          <t>Moderate</t>
        </is>
      </c>
      <c r="I70" t="inlineStr">
        <is>
          <t>In Progress</t>
        </is>
      </c>
    </row>
    <row r="71">
      <c r="A71" t="inlineStr">
        <is>
          <t>2026-04-13</t>
        </is>
      </c>
      <c r="B71" t="inlineStr">
        <is>
          <t>2026-0413-005</t>
        </is>
      </c>
      <c r="C71" t="inlineStr">
        <is>
          <t>AI Agent 'Lethal Trifecta' — Privileged Access + Untrusted Input + Public Output</t>
        </is>
      </c>
      <c r="D71" t="inlineStr">
        <is>
          <t>Access Control</t>
        </is>
      </c>
      <c r="E71" t="inlineStr">
        <is>
          <t>AC-3, SC-7, SI-10, SA-8</t>
        </is>
      </c>
      <c r="G71" t="inlineStr">
        <is>
          <t>P1</t>
        </is>
      </c>
      <c r="H71" t="inlineStr">
        <is>
          <t>Moderate</t>
        </is>
      </c>
      <c r="I71" t="inlineStr">
        <is>
          <t>In Progress</t>
        </is>
      </c>
    </row>
    <row r="72">
      <c r="A72" t="inlineStr">
        <is>
          <t>2026-04-13</t>
        </is>
      </c>
      <c r="B72" t="inlineStr">
        <is>
          <t>2026-0413-006</t>
        </is>
      </c>
      <c r="C72" t="inlineStr">
        <is>
          <t>Shadow AI Now #1 Enterprise Data Leakage Vector in 2026</t>
        </is>
      </c>
      <c r="D72" t="inlineStr">
        <is>
          <t>Configuration Management</t>
        </is>
      </c>
      <c r="E72" t="inlineStr">
        <is>
          <t>CM-8, AC-3, PM-5, SI-4</t>
        </is>
      </c>
      <c r="G72" t="inlineStr">
        <is>
          <t>P2</t>
        </is>
      </c>
      <c r="H72" t="inlineStr">
        <is>
          <t>Moderate</t>
        </is>
      </c>
      <c r="I72" t="inlineStr">
        <is>
          <t>In Progress</t>
        </is>
      </c>
    </row>
    <row r="73">
      <c r="A73" t="inlineStr">
        <is>
          <t>2026-04-13</t>
        </is>
      </c>
      <c r="B73" t="inlineStr">
        <is>
          <t>2026-0413-007</t>
        </is>
      </c>
      <c r="C73" t="inlineStr">
        <is>
          <t>TeamPCP / Lapsus$ Supply Chain Wave — Hundreds of Thousands of Stolen Secrets</t>
        </is>
      </c>
      <c r="D73" t="inlineStr">
        <is>
          <t>System and Services Acquisition</t>
        </is>
      </c>
      <c r="E73" t="inlineStr">
        <is>
          <t>SA-12, SR-3, SI-7, IR-4</t>
        </is>
      </c>
      <c r="G73" t="inlineStr">
        <is>
          <t>P1</t>
        </is>
      </c>
      <c r="H73" t="inlineStr">
        <is>
          <t>High</t>
        </is>
      </c>
      <c r="I73" t="inlineStr">
        <is>
          <t>In Progress</t>
        </is>
      </c>
    </row>
    <row r="74">
      <c r="A74" t="inlineStr">
        <is>
          <t>2026-04-13</t>
        </is>
      </c>
      <c r="B74" t="inlineStr">
        <is>
          <t>2026-0413-008</t>
        </is>
      </c>
      <c r="C74" t="inlineStr">
        <is>
          <t>Open Source Malware Up 73% — AI Development Pipelines Targeted</t>
        </is>
      </c>
      <c r="D74" t="inlineStr">
        <is>
          <t>System and Services Acquisition</t>
        </is>
      </c>
      <c r="E74" t="inlineStr">
        <is>
          <t>SA-12, SR-3, SR-6, CM-3</t>
        </is>
      </c>
      <c r="G74" t="inlineStr">
        <is>
          <t>P1</t>
        </is>
      </c>
      <c r="H74" t="inlineStr">
        <is>
          <t>Moderate</t>
        </is>
      </c>
      <c r="I74" t="inlineStr">
        <is>
          <t>In Progress</t>
        </is>
      </c>
    </row>
    <row r="75">
      <c r="A75" t="inlineStr">
        <is>
          <t>2026-04-13</t>
        </is>
      </c>
      <c r="B75" t="inlineStr">
        <is>
          <t>2026-0413-009</t>
        </is>
      </c>
      <c r="C75" t="inlineStr">
        <is>
          <t>European Commission Trivy Breach — CERT-EU Confirms Initial Access Vector</t>
        </is>
      </c>
      <c r="D75" t="inlineStr">
        <is>
          <t>System and Services Acquisition</t>
        </is>
      </c>
      <c r="E75" t="inlineStr">
        <is>
          <t>SA-12, IR-4, IR-6, SC-7</t>
        </is>
      </c>
      <c r="G75" t="inlineStr">
        <is>
          <t>P1</t>
        </is>
      </c>
      <c r="H75" t="inlineStr">
        <is>
          <t>High</t>
        </is>
      </c>
      <c r="I75" t="inlineStr">
        <is>
          <t>In Progress</t>
        </is>
      </c>
    </row>
    <row r="76">
      <c r="A76" t="inlineStr">
        <is>
          <t>2026-04-13</t>
        </is>
      </c>
      <c r="B76" t="inlineStr">
        <is>
          <t>2026-0413-010</t>
        </is>
      </c>
      <c r="C76" t="inlineStr">
        <is>
          <t>Drift Protocol $285M Heist — DPRK Social Engineering Campaign</t>
        </is>
      </c>
      <c r="D76" t="inlineStr">
        <is>
          <t>Incident Response</t>
        </is>
      </c>
      <c r="E76" t="inlineStr">
        <is>
          <t>IR-4, SC-7, AC-3, AT-2</t>
        </is>
      </c>
      <c r="G76" t="inlineStr">
        <is>
          <t>P1</t>
        </is>
      </c>
      <c r="H76" t="inlineStr">
        <is>
          <t>High</t>
        </is>
      </c>
      <c r="I76" t="inlineStr">
        <is>
          <t>In Progress</t>
        </is>
      </c>
    </row>
    <row r="77">
      <c r="A77" t="inlineStr">
        <is>
          <t>2026-04-13</t>
        </is>
      </c>
      <c r="B77" t="inlineStr">
        <is>
          <t>2026-0413-011</t>
        </is>
      </c>
      <c r="C77" t="inlineStr">
        <is>
          <t>CPUID Website Compromise — CPU-Z &amp; HWMonitor Download Hijack</t>
        </is>
      </c>
      <c r="D77" t="inlineStr">
        <is>
          <t>System and Information Integrity</t>
        </is>
      </c>
      <c r="E77" t="inlineStr">
        <is>
          <t>SI-7, SC-7, CM-3, IR-4</t>
        </is>
      </c>
      <c r="G77" t="inlineStr">
        <is>
          <t>P1</t>
        </is>
      </c>
      <c r="H77" t="inlineStr">
        <is>
          <t>Moderate</t>
        </is>
      </c>
      <c r="I77" t="inlineStr">
        <is>
          <t>In Progress</t>
        </is>
      </c>
    </row>
    <row r="78">
      <c r="A78" t="inlineStr">
        <is>
          <t>2026-04-13</t>
        </is>
      </c>
      <c r="B78" t="inlineStr">
        <is>
          <t>2026-0413-012</t>
        </is>
      </c>
      <c r="C78" t="inlineStr">
        <is>
          <t>Gritman Medical Ransomware — Multi-Clinic Outage Across Idaho</t>
        </is>
      </c>
      <c r="D78" t="inlineStr">
        <is>
          <t>Incident Response</t>
        </is>
      </c>
      <c r="E78" t="inlineStr">
        <is>
          <t>IR-4, CP-9, CP-10, AU-6</t>
        </is>
      </c>
      <c r="G78" t="inlineStr">
        <is>
          <t>P1</t>
        </is>
      </c>
      <c r="H78" t="inlineStr">
        <is>
          <t>Moderate</t>
        </is>
      </c>
      <c r="I78" t="inlineStr">
        <is>
          <t>In Progress</t>
        </is>
      </c>
    </row>
    <row r="79">
      <c r="A79" t="inlineStr">
        <is>
          <t>2026-04-13</t>
        </is>
      </c>
      <c r="B79" t="inlineStr">
        <is>
          <t>2026-0413-013</t>
        </is>
      </c>
      <c r="C79" t="inlineStr">
        <is>
          <t>Hasbro IT Systems Breached — Data Stolen, Operations Disrupted</t>
        </is>
      </c>
      <c r="D79" t="inlineStr">
        <is>
          <t>Incident Response</t>
        </is>
      </c>
      <c r="E79" t="inlineStr">
        <is>
          <t>IR-4, IR-6, CP-10, AC-3</t>
        </is>
      </c>
      <c r="G79" t="inlineStr">
        <is>
          <t>P1</t>
        </is>
      </c>
      <c r="H79" t="inlineStr">
        <is>
          <t>Moderate</t>
        </is>
      </c>
      <c r="I79" t="inlineStr">
        <is>
          <t>In Progress</t>
        </is>
      </c>
    </row>
    <row r="80">
      <c r="A80" t="inlineStr">
        <is>
          <t>2026-04-13</t>
        </is>
      </c>
      <c r="B80" t="inlineStr">
        <is>
          <t>2026-0413-014</t>
        </is>
      </c>
      <c r="C80" t="inlineStr">
        <is>
          <t>Handala Ransomware Group Surge — 23+ Victims, Multi-Sector Acceleration</t>
        </is>
      </c>
      <c r="D80" t="inlineStr">
        <is>
          <t>Incident Response</t>
        </is>
      </c>
      <c r="E80" t="inlineStr">
        <is>
          <t>IR-4, CP-9, CP-10, SI-4</t>
        </is>
      </c>
      <c r="G80" t="inlineStr">
        <is>
          <t>P1</t>
        </is>
      </c>
      <c r="H80" t="inlineStr">
        <is>
          <t>Moderate</t>
        </is>
      </c>
      <c r="I80" t="inlineStr">
        <is>
          <t>In Progress</t>
        </is>
      </c>
    </row>
    <row r="81">
      <c r="A81" t="inlineStr">
        <is>
          <t>2026-04-13</t>
        </is>
      </c>
      <c r="B81" t="inlineStr">
        <is>
          <t>2026-0413-015</t>
        </is>
      </c>
      <c r="C81" t="inlineStr">
        <is>
          <t>Hong Kong Hospital Authority Patient Data Leak on Third-Party Platform</t>
        </is>
      </c>
      <c r="D81" t="inlineStr">
        <is>
          <t>Incident Response</t>
        </is>
      </c>
      <c r="E81" t="inlineStr">
        <is>
          <t>IR-4, IR-6, AC-3, AU-6</t>
        </is>
      </c>
      <c r="G81" t="inlineStr">
        <is>
          <t>P2</t>
        </is>
      </c>
      <c r="H81" t="inlineStr">
        <is>
          <t>Moderate</t>
        </is>
      </c>
      <c r="I81" t="inlineStr">
        <is>
          <t>In Progress</t>
        </is>
      </c>
    </row>
    <row r="82">
      <c r="A82" t="inlineStr">
        <is>
          <t>2026-04-13</t>
        </is>
      </c>
      <c r="B82" t="inlineStr">
        <is>
          <t>2026-0413-016</t>
        </is>
      </c>
      <c r="C82" t="inlineStr">
        <is>
          <t>AI Security Solutions Landscape Q2 2026 — OWASP GenAI Project</t>
        </is>
      </c>
      <c r="D82" t="inlineStr">
        <is>
          <t>Assessment, Authorization, and Monitoring</t>
        </is>
      </c>
      <c r="E82" t="inlineStr">
        <is>
          <t>CA-8, RA-5, PL-2</t>
        </is>
      </c>
      <c r="G82" t="inlineStr">
        <is>
          <t>P3</t>
        </is>
      </c>
      <c r="H82" t="inlineStr">
        <is>
          <t>Low</t>
        </is>
      </c>
      <c r="I82" t="inlineStr">
        <is>
          <t>In Progress</t>
        </is>
      </c>
    </row>
    <row r="83">
      <c r="A83" t="inlineStr">
        <is>
          <t>2026-04-13</t>
        </is>
      </c>
      <c r="B83" t="inlineStr">
        <is>
          <t>2026-0413-017</t>
        </is>
      </c>
      <c r="C83" t="inlineStr">
        <is>
          <t>Prompt Injection in Agentic Coding Assistants — Systematic Vulnerability Analysis (arXiv)</t>
        </is>
      </c>
      <c r="D83" t="inlineStr">
        <is>
          <t>Assessment, Authorization, and Monitoring</t>
        </is>
      </c>
      <c r="E83" t="inlineStr">
        <is>
          <t>CA-8, SA-11, SI-10</t>
        </is>
      </c>
      <c r="G83" t="inlineStr">
        <is>
          <t>P3</t>
        </is>
      </c>
      <c r="H83" t="inlineStr">
        <is>
          <t>Low</t>
        </is>
      </c>
      <c r="I83" t="inlineStr">
        <is>
          <t>In Progress</t>
        </is>
      </c>
    </row>
    <row r="84">
      <c r="A84" t="inlineStr">
        <is>
          <t>2026-04-14</t>
        </is>
      </c>
      <c r="B84" t="inlineStr">
        <is>
          <t>2026-0414-001</t>
        </is>
      </c>
      <c r="C84" t="inlineStr">
        <is>
          <t>DNS Tunneling Channel Discovered in ChatGPT Code Sandbox — Covert Data Exfiltration</t>
        </is>
      </c>
      <c r="D84" t="inlineStr">
        <is>
          <t>SC-7</t>
        </is>
      </c>
      <c r="E84" t="inlineStr">
        <is>
          <t>SC-7 SI-4 AC-3 AU-12</t>
        </is>
      </c>
      <c r="G84" t="inlineStr">
        <is>
          <t>P1</t>
        </is>
      </c>
      <c r="H84" t="inlineStr">
        <is>
          <t>High</t>
        </is>
      </c>
      <c r="I84" t="inlineStr">
        <is>
          <t>Not Yet Assessed</t>
        </is>
      </c>
    </row>
    <row r="85">
      <c r="A85" t="inlineStr">
        <is>
          <t>2026-04-14</t>
        </is>
      </c>
      <c r="B85" t="inlineStr">
        <is>
          <t>2026-0414-002</t>
        </is>
      </c>
      <c r="C85" t="inlineStr">
        <is>
          <t>Memory Poisoning in LLM Agents — 90%+ Attack Success Against GPT-5 mini &amp; Claude Sonnet 4.5</t>
        </is>
      </c>
      <c r="D85" t="inlineStr">
        <is>
          <t>SI-7</t>
        </is>
      </c>
      <c r="E85" t="inlineStr">
        <is>
          <t>SI-7 SI-10 AC-3 IR-4</t>
        </is>
      </c>
      <c r="G85" t="inlineStr">
        <is>
          <t>P1</t>
        </is>
      </c>
      <c r="H85" t="inlineStr">
        <is>
          <t>High</t>
        </is>
      </c>
      <c r="I85" t="inlineStr">
        <is>
          <t>Not Yet Assessed</t>
        </is>
      </c>
    </row>
    <row r="86">
      <c r="A86" t="inlineStr">
        <is>
          <t>2026-04-14</t>
        </is>
      </c>
      <c r="B86" t="inlineStr">
        <is>
          <t>2026-0414-003</t>
        </is>
      </c>
      <c r="C86" t="inlineStr">
        <is>
          <t>Anthropic Mythos Preview Restricted After Autonomous Zero-Day Discovery Across Major Systems</t>
        </is>
      </c>
      <c r="D86" t="inlineStr">
        <is>
          <t>PL-2</t>
        </is>
      </c>
      <c r="E86" t="inlineStr">
        <is>
          <t>PL-2 RA-5 CA-8 SA-11</t>
        </is>
      </c>
      <c r="G86" t="inlineStr">
        <is>
          <t>P1</t>
        </is>
      </c>
      <c r="H86" t="inlineStr">
        <is>
          <t>Moderate</t>
        </is>
      </c>
      <c r="I86" t="inlineStr">
        <is>
          <t>Not Yet Assessed</t>
        </is>
      </c>
    </row>
    <row r="87">
      <c r="A87" t="inlineStr">
        <is>
          <t>2026-04-14</t>
        </is>
      </c>
      <c r="B87" t="inlineStr">
        <is>
          <t>2026-0414-004</t>
        </is>
      </c>
      <c r="C87" t="inlineStr">
        <is>
          <t>MCP Cross-Client Data Leak CVE-2026-25536 — StreamableHTTP Transport Boundary Failure</t>
        </is>
      </c>
      <c r="D87" t="inlineStr">
        <is>
          <t>SC-7</t>
        </is>
      </c>
      <c r="E87" t="inlineStr">
        <is>
          <t>SC-7 AC-3 SI-7 SC-4</t>
        </is>
      </c>
      <c r="G87" t="inlineStr">
        <is>
          <t>P1</t>
        </is>
      </c>
      <c r="H87" t="inlineStr">
        <is>
          <t>Moderate</t>
        </is>
      </c>
      <c r="I87" t="inlineStr">
        <is>
          <t>Not Yet Assessed</t>
        </is>
      </c>
    </row>
    <row r="88">
      <c r="A88" t="inlineStr">
        <is>
          <t>2026-04-14</t>
        </is>
      </c>
      <c r="B88" t="inlineStr">
        <is>
          <t>2026-0414-005</t>
        </is>
      </c>
      <c r="C88" t="inlineStr">
        <is>
          <t>Cascading Prompt Injection in Multi-Agent Pipelines — Cross-Layer Propagation Attacks</t>
        </is>
      </c>
      <c r="D88" t="inlineStr">
        <is>
          <t>SI-10</t>
        </is>
      </c>
      <c r="E88" t="inlineStr">
        <is>
          <t>SI-10 AC-3 SC-7 SA-8</t>
        </is>
      </c>
      <c r="G88" t="inlineStr">
        <is>
          <t>P1</t>
        </is>
      </c>
      <c r="H88" t="inlineStr">
        <is>
          <t>Moderate</t>
        </is>
      </c>
      <c r="I88" t="inlineStr">
        <is>
          <t>Not Yet Assessed</t>
        </is>
      </c>
    </row>
    <row r="89">
      <c r="A89" t="inlineStr">
        <is>
          <t>2026-04-14</t>
        </is>
      </c>
      <c r="B89" t="inlineStr">
        <is>
          <t>2026-0414-006</t>
        </is>
      </c>
      <c r="C89" t="inlineStr">
        <is>
          <t>OpenAI Concedes Prompt Injection 'Unlikely to Ever Be Fully Solved'</t>
        </is>
      </c>
      <c r="D89" t="inlineStr">
        <is>
          <t>PL-2</t>
        </is>
      </c>
      <c r="E89" t="inlineStr">
        <is>
          <t>PL-2 SA-8 SI-10 RA-3</t>
        </is>
      </c>
      <c r="G89" t="inlineStr">
        <is>
          <t>P2</t>
        </is>
      </c>
      <c r="H89" t="inlineStr">
        <is>
          <t>Low</t>
        </is>
      </c>
      <c r="I89" t="inlineStr">
        <is>
          <t>Not Yet Assessed</t>
        </is>
      </c>
    </row>
    <row r="90">
      <c r="A90" t="inlineStr">
        <is>
          <t>2026-04-14</t>
        </is>
      </c>
      <c r="B90" t="inlineStr">
        <is>
          <t>2026-0414-007</t>
        </is>
      </c>
      <c r="C90" t="inlineStr">
        <is>
          <t>Axios NPM Backdoor Still Active in Production — Vectra Detection Guidance Published</t>
        </is>
      </c>
      <c r="D90" t="inlineStr">
        <is>
          <t>SA-12</t>
        </is>
      </c>
      <c r="E90" t="inlineStr">
        <is>
          <t>SA-12 SR-3 SI-7 IR-4</t>
        </is>
      </c>
      <c r="G90" t="inlineStr">
        <is>
          <t>P1</t>
        </is>
      </c>
      <c r="H90" t="inlineStr">
        <is>
          <t>High</t>
        </is>
      </c>
      <c r="I90" t="inlineStr">
        <is>
          <t>Not Yet Assessed</t>
        </is>
      </c>
    </row>
    <row r="91">
      <c r="A91" t="inlineStr">
        <is>
          <t>2026-04-14</t>
        </is>
      </c>
      <c r="B91" t="inlineStr">
        <is>
          <t>2026-0414-008</t>
        </is>
      </c>
      <c r="C91" t="inlineStr">
        <is>
          <t>Claude Source Code Leak Exposes Systemic Supply Chain Oversight Gaps</t>
        </is>
      </c>
      <c r="D91" t="inlineStr">
        <is>
          <t>SA-12</t>
        </is>
      </c>
      <c r="E91" t="inlineStr">
        <is>
          <t>SA-12 CM-3 AC-3 SC-28</t>
        </is>
      </c>
      <c r="G91" t="inlineStr">
        <is>
          <t>P1</t>
        </is>
      </c>
      <c r="H91" t="inlineStr">
        <is>
          <t>Moderate</t>
        </is>
      </c>
      <c r="I91" t="inlineStr">
        <is>
          <t>Not Yet Assessed</t>
        </is>
      </c>
    </row>
    <row r="92">
      <c r="A92" t="inlineStr">
        <is>
          <t>2026-04-14</t>
        </is>
      </c>
      <c r="B92" t="inlineStr">
        <is>
          <t>2026-0414-009</t>
        </is>
      </c>
      <c r="C92" t="inlineStr">
        <is>
          <t>Talos Intelligence 2026 Supply Chain Defense Report — Security Tools as Attack Vectors</t>
        </is>
      </c>
      <c r="D92" t="inlineStr">
        <is>
          <t>SA-12</t>
        </is>
      </c>
      <c r="E92" t="inlineStr">
        <is>
          <t>SA-12 SR-3 SR-6 CM-3</t>
        </is>
      </c>
      <c r="G92" t="inlineStr">
        <is>
          <t>P1</t>
        </is>
      </c>
      <c r="H92" t="inlineStr">
        <is>
          <t>Moderate</t>
        </is>
      </c>
      <c r="I92" t="inlineStr">
        <is>
          <t>Not Yet Assessed</t>
        </is>
      </c>
    </row>
    <row r="93">
      <c r="A93" t="inlineStr">
        <is>
          <t>2026-04-14</t>
        </is>
      </c>
      <c r="B93" t="inlineStr">
        <is>
          <t>2026-0414-010</t>
        </is>
      </c>
      <c r="C93" t="inlineStr">
        <is>
          <t>Rockstar Games ShinyHunters Ransom Deadline Today — Cloud Infrastructure Data at Stake</t>
        </is>
      </c>
      <c r="D93" t="inlineStr">
        <is>
          <t>IR-4</t>
        </is>
      </c>
      <c r="E93" t="inlineStr">
        <is>
          <t>IR-4 IR-6 SC-7 AC-3</t>
        </is>
      </c>
      <c r="G93" t="inlineStr">
        <is>
          <t>P1</t>
        </is>
      </c>
      <c r="H93" t="inlineStr">
        <is>
          <t>High</t>
        </is>
      </c>
      <c r="I93" t="inlineStr">
        <is>
          <t>Not Yet Assessed</t>
        </is>
      </c>
    </row>
    <row r="94">
      <c r="A94" t="inlineStr">
        <is>
          <t>2026-04-14</t>
        </is>
      </c>
      <c r="B94" t="inlineStr">
        <is>
          <t>2026-0414-011</t>
        </is>
      </c>
      <c r="C94" t="inlineStr">
        <is>
          <t>Adobe Acrobat Reader CVE-2026-34621 — Emergency Patch for Active Exploitation (CVSS 8.6)</t>
        </is>
      </c>
      <c r="D94" t="inlineStr">
        <is>
          <t>SI-2</t>
        </is>
      </c>
      <c r="E94" t="inlineStr">
        <is>
          <t>SI-2 SI-5 RA-5 CM-6</t>
        </is>
      </c>
      <c r="G94" t="inlineStr">
        <is>
          <t>P1</t>
        </is>
      </c>
      <c r="H94" t="inlineStr">
        <is>
          <t>Moderate</t>
        </is>
      </c>
      <c r="I94" t="inlineStr">
        <is>
          <t>Not Yet Assessed</t>
        </is>
      </c>
    </row>
    <row r="95">
      <c r="A95" t="inlineStr">
        <is>
          <t>2026-04-14</t>
        </is>
      </c>
      <c r="B95" t="inlineStr">
        <is>
          <t>2026-0414-012</t>
        </is>
      </c>
      <c r="C95" t="inlineStr">
        <is>
          <t>Windows Zero-Day Exploit Leaked Ahead of April Patch Tuesday</t>
        </is>
      </c>
      <c r="D95" t="inlineStr">
        <is>
          <t>SI-2</t>
        </is>
      </c>
      <c r="E95" t="inlineStr">
        <is>
          <t>SI-2 SI-5 RA-5 CM-6</t>
        </is>
      </c>
      <c r="G95" t="inlineStr">
        <is>
          <t>P1</t>
        </is>
      </c>
      <c r="H95" t="inlineStr">
        <is>
          <t>Moderate</t>
        </is>
      </c>
      <c r="I95" t="inlineStr">
        <is>
          <t>Not Yet Assessed</t>
        </is>
      </c>
    </row>
    <row r="96">
      <c r="A96" t="inlineStr">
        <is>
          <t>2026-04-14</t>
        </is>
      </c>
      <c r="B96" t="inlineStr">
        <is>
          <t>2026-0414-013</t>
        </is>
      </c>
      <c r="C96" t="inlineStr">
        <is>
          <t>SongTrivia 2.9M Account Breach — Auth Tokens Passwords and PII Published</t>
        </is>
      </c>
      <c r="D96" t="inlineStr">
        <is>
          <t>IR-4</t>
        </is>
      </c>
      <c r="E96" t="inlineStr">
        <is>
          <t>IR-4 IR-6 IA-5 AC-3</t>
        </is>
      </c>
      <c r="G96" t="inlineStr">
        <is>
          <t>P1</t>
        </is>
      </c>
      <c r="H96" t="inlineStr">
        <is>
          <t>Moderate</t>
        </is>
      </c>
      <c r="I96" t="inlineStr">
        <is>
          <t>Not Yet Assessed</t>
        </is>
      </c>
    </row>
    <row r="97">
      <c r="A97" t="inlineStr">
        <is>
          <t>2026-04-14</t>
        </is>
      </c>
      <c r="B97" t="inlineStr">
        <is>
          <t>2026-0414-014</t>
        </is>
      </c>
      <c r="C97" t="inlineStr">
        <is>
          <t>ComTec Systems Ransomware — IT Provider Breach Cascades to Downstream Clients</t>
        </is>
      </c>
      <c r="D97" t="inlineStr">
        <is>
          <t>IR-4</t>
        </is>
      </c>
      <c r="E97" t="inlineStr">
        <is>
          <t>IR-4 SA-12 SC-7 CP-10</t>
        </is>
      </c>
      <c r="G97" t="inlineStr">
        <is>
          <t>P1</t>
        </is>
      </c>
      <c r="H97" t="inlineStr">
        <is>
          <t>Moderate</t>
        </is>
      </c>
      <c r="I97" t="inlineStr">
        <is>
          <t>Not Yet Assessed</t>
        </is>
      </c>
    </row>
    <row r="98">
      <c r="A98" t="inlineStr">
        <is>
          <t>2026-04-14</t>
        </is>
      </c>
      <c r="B98" t="inlineStr">
        <is>
          <t>2026-0414-015</t>
        </is>
      </c>
      <c r="C98" t="inlineStr">
        <is>
          <t>Bitdefender April 2026 Threat Debrief — AI-Augmented Attack Techniques Accelerating</t>
        </is>
      </c>
      <c r="D98" t="inlineStr">
        <is>
          <t>SI-4</t>
        </is>
      </c>
      <c r="E98" t="inlineStr">
        <is>
          <t>SI-4 RA-5 RA-3 PM-16</t>
        </is>
      </c>
      <c r="G98" t="inlineStr">
        <is>
          <t>P2</t>
        </is>
      </c>
      <c r="H98" t="inlineStr">
        <is>
          <t>Low</t>
        </is>
      </c>
      <c r="I98" t="inlineStr">
        <is>
          <t>Not Yet Assessed</t>
        </is>
      </c>
    </row>
    <row r="99">
      <c r="A99" t="inlineStr">
        <is>
          <t>2026-04-14</t>
        </is>
      </c>
      <c r="B99" t="inlineStr">
        <is>
          <t>2026-0414-016</t>
        </is>
      </c>
      <c r="C99" t="inlineStr">
        <is>
          <t>Vulnerable MCP Project Launches Comprehensive Security Database</t>
        </is>
      </c>
      <c r="D99" t="inlineStr">
        <is>
          <t>RA-5</t>
        </is>
      </c>
      <c r="E99" t="inlineStr">
        <is>
          <t>RA-5 CA-8 PM-16</t>
        </is>
      </c>
      <c r="G99" t="inlineStr">
        <is>
          <t>P3</t>
        </is>
      </c>
      <c r="H99" t="inlineStr">
        <is>
          <t>Low</t>
        </is>
      </c>
      <c r="I99" t="inlineStr">
        <is>
          <t>Not Yet Assessed</t>
        </is>
      </c>
    </row>
    <row r="100">
      <c r="A100" t="inlineStr">
        <is>
          <t>2026-04-14</t>
        </is>
      </c>
      <c r="B100" t="inlineStr">
        <is>
          <t>2026-0414-017</t>
        </is>
      </c>
      <c r="C100" t="inlineStr">
        <is>
          <t>MCP-DPT Defense-Placement Taxonomy Published (arXiv:2604.07551) — Coverage Gap Analysis</t>
        </is>
      </c>
      <c r="D100" t="inlineStr">
        <is>
          <t>SA-12</t>
        </is>
      </c>
      <c r="E100" t="inlineStr">
        <is>
          <t>SA-12 SI-7 AC-3 CA-8</t>
        </is>
      </c>
      <c r="G100" t="inlineStr">
        <is>
          <t>P3</t>
        </is>
      </c>
      <c r="H100" t="inlineStr">
        <is>
          <t>Low</t>
        </is>
      </c>
      <c r="I100" t="inlineStr">
        <is>
          <t>Not Yet Assessed</t>
        </is>
      </c>
    </row>
    <row r="101">
      <c r="A101" t="inlineStr">
        <is>
          <t>2026-04-23</t>
        </is>
      </c>
      <c r="B101" t="inlineStr">
        <is>
          <t>2026-0423-001</t>
        </is>
      </c>
      <c r="C101" t="inlineStr">
        <is>
          <t>MCP / Toolchain RCE</t>
        </is>
      </c>
      <c r="E101" t="inlineStr">
        <is>
          <t>SA-12,SR-3,SI-7,CM-3,AC-3</t>
        </is>
      </c>
      <c r="G101" t="inlineStr">
        <is>
          <t>P1</t>
        </is>
      </c>
      <c r="H101" t="inlineStr">
        <is>
          <t>Moderate</t>
        </is>
      </c>
      <c r="I101" t="inlineStr">
        <is>
          <t>Not Started</t>
        </is>
      </c>
    </row>
    <row r="102">
      <c r="A102" t="inlineStr">
        <is>
          <t>2026-04-23</t>
        </is>
      </c>
      <c r="B102" t="inlineStr">
        <is>
          <t>2026-0423-002</t>
        </is>
      </c>
      <c r="C102" t="inlineStr">
        <is>
          <t>MCP / Toolchain RCE</t>
        </is>
      </c>
      <c r="E102" t="inlineStr">
        <is>
          <t>SI-10,SA-11,SC-7,AC-3</t>
        </is>
      </c>
      <c r="G102" t="inlineStr">
        <is>
          <t>P1</t>
        </is>
      </c>
      <c r="H102" t="inlineStr">
        <is>
          <t>Moderate</t>
        </is>
      </c>
      <c r="I102" t="inlineStr">
        <is>
          <t>Not Started</t>
        </is>
      </c>
    </row>
    <row r="103">
      <c r="A103" t="inlineStr">
        <is>
          <t>2026-04-23</t>
        </is>
      </c>
      <c r="B103" t="inlineStr">
        <is>
          <t>2026-0423-003</t>
        </is>
      </c>
      <c r="C103" t="inlineStr">
        <is>
          <t>Inference Engine SSRF</t>
        </is>
      </c>
      <c r="E103" t="inlineStr">
        <is>
          <t>SC-7,SI-4,SI-10,RA-5</t>
        </is>
      </c>
      <c r="G103" t="inlineStr">
        <is>
          <t>P1</t>
        </is>
      </c>
      <c r="H103" t="inlineStr">
        <is>
          <t>Moderate</t>
        </is>
      </c>
      <c r="I103" t="inlineStr">
        <is>
          <t>Not Started</t>
        </is>
      </c>
    </row>
    <row r="104">
      <c r="A104" t="inlineStr">
        <is>
          <t>2026-04-23</t>
        </is>
      </c>
      <c r="B104" t="inlineStr">
        <is>
          <t>2026-0423-004</t>
        </is>
      </c>
      <c r="C104" t="inlineStr">
        <is>
          <t>Memory Poisoning</t>
        </is>
      </c>
      <c r="E104" t="inlineStr">
        <is>
          <t>SI-7,SI-10,AC-3,IR-4</t>
        </is>
      </c>
      <c r="G104" t="inlineStr">
        <is>
          <t>P1</t>
        </is>
      </c>
      <c r="H104" t="inlineStr">
        <is>
          <t>Moderate</t>
        </is>
      </c>
      <c r="I104" t="inlineStr">
        <is>
          <t>Not Started</t>
        </is>
      </c>
    </row>
    <row r="105">
      <c r="A105" t="inlineStr">
        <is>
          <t>2026-04-23</t>
        </is>
      </c>
      <c r="B105" t="inlineStr">
        <is>
          <t>2026-0423-005</t>
        </is>
      </c>
      <c r="C105" t="inlineStr">
        <is>
          <t>Recommendation Poisoning</t>
        </is>
      </c>
      <c r="E105" t="inlineStr">
        <is>
          <t>SI-7,SI-10,PM-16,RA-3</t>
        </is>
      </c>
      <c r="G105" t="inlineStr">
        <is>
          <t>P1</t>
        </is>
      </c>
      <c r="H105" t="inlineStr">
        <is>
          <t>Moderate</t>
        </is>
      </c>
      <c r="I105" t="inlineStr">
        <is>
          <t>Not Started</t>
        </is>
      </c>
    </row>
    <row r="106">
      <c r="A106" t="inlineStr">
        <is>
          <t>2026-04-23</t>
        </is>
      </c>
      <c r="B106" t="inlineStr">
        <is>
          <t>2026-0423-006</t>
        </is>
      </c>
      <c r="C106" t="inlineStr">
        <is>
          <t>Governance Signal</t>
        </is>
      </c>
      <c r="E106" t="inlineStr">
        <is>
          <t>PL-2,PM-1,RA-3,PM-16</t>
        </is>
      </c>
      <c r="G106" t="inlineStr">
        <is>
          <t>P1</t>
        </is>
      </c>
      <c r="H106" t="inlineStr">
        <is>
          <t>Moderate</t>
        </is>
      </c>
      <c r="I106" t="inlineStr">
        <is>
          <t>Not Started</t>
        </is>
      </c>
    </row>
    <row r="107">
      <c r="A107" t="inlineStr">
        <is>
          <t>2026-04-23</t>
        </is>
      </c>
      <c r="B107" t="inlineStr">
        <is>
          <t>2026-0423-007</t>
        </is>
      </c>
      <c r="C107" t="inlineStr">
        <is>
          <t>Agent Privilege Abuse</t>
        </is>
      </c>
      <c r="E107" t="inlineStr">
        <is>
          <t>AC-3,AC-6,IA-5,AU-12,IR-4</t>
        </is>
      </c>
      <c r="G107" t="inlineStr">
        <is>
          <t>P1</t>
        </is>
      </c>
      <c r="H107" t="inlineStr">
        <is>
          <t>Moderate</t>
        </is>
      </c>
      <c r="I107" t="inlineStr">
        <is>
          <t>Not Started</t>
        </is>
      </c>
    </row>
    <row r="108">
      <c r="A108" t="inlineStr">
        <is>
          <t>2026-04-23</t>
        </is>
      </c>
      <c r="B108" t="inlineStr">
        <is>
          <t>2026-0423-008</t>
        </is>
      </c>
      <c r="C108" t="inlineStr">
        <is>
          <t>Offensive AI Capability</t>
        </is>
      </c>
      <c r="E108" t="inlineStr">
        <is>
          <t>RA-3,RA-5,SI-5,PM-16</t>
        </is>
      </c>
      <c r="G108" t="inlineStr">
        <is>
          <t>P1</t>
        </is>
      </c>
      <c r="H108" t="inlineStr">
        <is>
          <t>Moderate</t>
        </is>
      </c>
      <c r="I108" t="inlineStr">
        <is>
          <t>Not Started</t>
        </is>
      </c>
    </row>
    <row r="109">
      <c r="A109" t="inlineStr">
        <is>
          <t>2026-04-23</t>
        </is>
      </c>
      <c r="B109" t="inlineStr">
        <is>
          <t>2026-0423-009</t>
        </is>
      </c>
      <c r="C109" t="inlineStr">
        <is>
          <t>AI Toolchain RCE</t>
        </is>
      </c>
      <c r="E109" t="inlineStr">
        <is>
          <t>SA-11,SC-7,AC-3,SI-2</t>
        </is>
      </c>
      <c r="G109" t="inlineStr">
        <is>
          <t>P1</t>
        </is>
      </c>
      <c r="H109" t="inlineStr">
        <is>
          <t>Moderate</t>
        </is>
      </c>
      <c r="I109" t="inlineStr">
        <is>
          <t>Not Started</t>
        </is>
      </c>
    </row>
    <row r="110">
      <c r="A110" t="inlineStr">
        <is>
          <t>2026-04-23</t>
        </is>
      </c>
      <c r="B110" t="inlineStr">
        <is>
          <t>2026-0423-010</t>
        </is>
      </c>
      <c r="C110" t="inlineStr">
        <is>
          <t>Third-party AI SaaS</t>
        </is>
      </c>
      <c r="E110" t="inlineStr">
        <is>
          <t>SA-12,SR-3,AC-3,IA-5,IR-4</t>
        </is>
      </c>
      <c r="G110" t="inlineStr">
        <is>
          <t>P1</t>
        </is>
      </c>
      <c r="H110" t="inlineStr">
        <is>
          <t>Moderate</t>
        </is>
      </c>
      <c r="I110" t="inlineStr">
        <is>
          <t>Not Started</t>
        </is>
      </c>
    </row>
    <row r="111">
      <c r="A111" t="inlineStr">
        <is>
          <t>2026-04-23</t>
        </is>
      </c>
      <c r="B111" t="inlineStr">
        <is>
          <t>2026-0423-011</t>
        </is>
      </c>
      <c r="C111" t="inlineStr">
        <is>
          <t>AI Workflow Platform</t>
        </is>
      </c>
      <c r="E111" t="inlineStr">
        <is>
          <t>SI-2,SI-5,AC-3,IA-5</t>
        </is>
      </c>
      <c r="G111" t="inlineStr">
        <is>
          <t>P1</t>
        </is>
      </c>
      <c r="H111" t="inlineStr">
        <is>
          <t>Moderate</t>
        </is>
      </c>
      <c r="I111" t="inlineStr">
        <is>
          <t>Not Started</t>
        </is>
      </c>
    </row>
    <row r="112">
      <c r="A112" t="inlineStr">
        <is>
          <t>2026-04-23</t>
        </is>
      </c>
      <c r="B112" t="inlineStr">
        <is>
          <t>2026-0423-012</t>
        </is>
      </c>
      <c r="C112" t="inlineStr">
        <is>
          <t>AI Defensive Capability</t>
        </is>
      </c>
      <c r="E112" t="inlineStr">
        <is>
          <t>CA-8,RA-5,SA-11</t>
        </is>
      </c>
      <c r="G112" t="inlineStr">
        <is>
          <t>P2</t>
        </is>
      </c>
      <c r="H112" t="inlineStr">
        <is>
          <t>Moderate</t>
        </is>
      </c>
      <c r="I112" t="inlineStr">
        <is>
          <t>Not Started</t>
        </is>
      </c>
    </row>
    <row r="113">
      <c r="A113" t="inlineStr">
        <is>
          <t>2026-04-23</t>
        </is>
      </c>
      <c r="B113" t="inlineStr">
        <is>
          <t>2026-0423-013</t>
        </is>
      </c>
      <c r="C113" t="inlineStr">
        <is>
          <t>Endpoint Security Abuse</t>
        </is>
      </c>
      <c r="E113" t="inlineStr">
        <is>
          <t>SI-3,SI-4,IR-4,CM-6</t>
        </is>
      </c>
      <c r="G113" t="inlineStr">
        <is>
          <t>P1</t>
        </is>
      </c>
      <c r="H113" t="inlineStr">
        <is>
          <t>Moderate</t>
        </is>
      </c>
      <c r="I113" t="inlineStr">
        <is>
          <t>Not Started</t>
        </is>
      </c>
    </row>
    <row r="114">
      <c r="A114" t="inlineStr">
        <is>
          <t>2026-04-23</t>
        </is>
      </c>
      <c r="B114" t="inlineStr">
        <is>
          <t>2026-0423-014</t>
        </is>
      </c>
      <c r="C114" t="inlineStr">
        <is>
          <t>Framework Update</t>
        </is>
      </c>
      <c r="E114" t="inlineStr">
        <is>
          <t>CA-8,PM-16,RA-3</t>
        </is>
      </c>
      <c r="G114" t="inlineStr">
        <is>
          <t>P3</t>
        </is>
      </c>
      <c r="H114" t="inlineStr">
        <is>
          <t>Moderate</t>
        </is>
      </c>
      <c r="I114" t="inlineStr">
        <is>
          <t>Not Started</t>
        </is>
      </c>
    </row>
    <row r="115">
      <c r="A115" t="inlineStr">
        <is>
          <t>2026-04-23</t>
        </is>
      </c>
      <c r="B115" t="inlineStr">
        <is>
          <t>2026-0423-015</t>
        </is>
      </c>
      <c r="C115" t="inlineStr">
        <is>
          <t>Framework Update</t>
        </is>
      </c>
      <c r="E115" t="inlineStr">
        <is>
          <t>PL-2,PM-1,SA-11</t>
        </is>
      </c>
      <c r="G115" t="inlineStr">
        <is>
          <t>P3</t>
        </is>
      </c>
      <c r="H115" t="inlineStr">
        <is>
          <t>Moderate</t>
        </is>
      </c>
      <c r="I115" t="inlineStr">
        <is>
          <t>Not Started</t>
        </is>
      </c>
    </row>
    <row r="116">
      <c r="A116" t="inlineStr">
        <is>
          <t>2026-04-23</t>
        </is>
      </c>
      <c r="B116" t="inlineStr">
        <is>
          <t>2026-0423-016</t>
        </is>
      </c>
      <c r="C116" t="inlineStr">
        <is>
          <t>Regulatory/Profile</t>
        </is>
      </c>
      <c r="E116" t="inlineStr">
        <is>
          <t>PM-1,PM-9,RA-3</t>
        </is>
      </c>
      <c r="G116" t="inlineStr">
        <is>
          <t>P3</t>
        </is>
      </c>
      <c r="H116" t="inlineStr">
        <is>
          <t>Moderate</t>
        </is>
      </c>
      <c r="I116" t="inlineStr">
        <is>
          <t>Not Started</t>
        </is>
      </c>
    </row>
    <row r="117">
      <c r="A117" t="inlineStr">
        <is>
          <t>2026-04-23</t>
        </is>
      </c>
      <c r="B117" t="inlineStr">
        <is>
          <t>2026-0423-017</t>
        </is>
      </c>
      <c r="C117" t="inlineStr">
        <is>
          <t>Implementation Guide</t>
        </is>
      </c>
      <c r="E117" t="inlineStr">
        <is>
          <t>SA-11,CM-3,AC-3</t>
        </is>
      </c>
      <c r="G117" t="inlineStr">
        <is>
          <t>P3</t>
        </is>
      </c>
      <c r="H117" t="inlineStr">
        <is>
          <t>Moderate</t>
        </is>
      </c>
      <c r="I117" t="inlineStr">
        <is>
          <t>Not Started</t>
        </is>
      </c>
    </row>
    <row r="118">
      <c r="A118" t="inlineStr">
        <is>
          <t>2026-04-24</t>
        </is>
      </c>
      <c r="B118" t="inlineStr">
        <is>
          <t>2026-0424-001</t>
        </is>
      </c>
      <c r="C118" t="inlineStr">
        <is>
          <t>Claude Code + GPT-4.1 Weaponized Against Mexican Government - 195M Records / 150GB Exfiltrated</t>
        </is>
      </c>
      <c r="E118" t="inlineStr">
        <is>
          <t>AC-3, AC-6, AU-12, IA-5, IR-4, SI-4</t>
        </is>
      </c>
      <c r="G118" t="inlineStr">
        <is>
          <t>P1</t>
        </is>
      </c>
      <c r="H118" t="inlineStr">
        <is>
          <t>Moderate</t>
        </is>
      </c>
      <c r="I118" t="inlineStr">
        <is>
          <t>Not Started</t>
        </is>
      </c>
    </row>
    <row r="119">
      <c r="A119" t="inlineStr">
        <is>
          <t>2026-04-24</t>
        </is>
      </c>
      <c r="B119" t="inlineStr">
        <is>
          <t>2026-0424-002</t>
        </is>
      </c>
      <c r="C119" t="inlineStr">
        <is>
          <t>Google Antigravity Prompt-Injection-to-RCE - find_by_name Pattern Flag Injection Escapes Sandbox</t>
        </is>
      </c>
      <c r="E119" t="inlineStr">
        <is>
          <t>SI-10, SA-11, AC-6, CM-7</t>
        </is>
      </c>
      <c r="G119" t="inlineStr">
        <is>
          <t>P1</t>
        </is>
      </c>
      <c r="H119" t="inlineStr">
        <is>
          <t>Moderate</t>
        </is>
      </c>
      <c r="I119" t="inlineStr">
        <is>
          <t>Not Started</t>
        </is>
      </c>
    </row>
    <row r="120">
      <c r="A120" t="inlineStr">
        <is>
          <t>2026-04-24</t>
        </is>
      </c>
      <c r="B120" t="inlineStr">
        <is>
          <t>2026-0424-003</t>
        </is>
      </c>
      <c r="C120" t="inlineStr">
        <is>
          <t>CVE-2026-22778 - vLLM RCE via Malicious Video URL (Unauthenticated Chain)</t>
        </is>
      </c>
      <c r="E120" t="inlineStr">
        <is>
          <t>SI-2, SI-5, SC-7, SA-11</t>
        </is>
      </c>
      <c r="G120" t="inlineStr">
        <is>
          <t>P1</t>
        </is>
      </c>
      <c r="H120" t="inlineStr">
        <is>
          <t>Moderate</t>
        </is>
      </c>
      <c r="I120" t="inlineStr">
        <is>
          <t>Not Started</t>
        </is>
      </c>
    </row>
    <row r="121">
      <c r="A121" t="inlineStr">
        <is>
          <t>2026-04-24</t>
        </is>
      </c>
      <c r="B121" t="inlineStr">
        <is>
          <t>2026-0424-004</t>
        </is>
      </c>
      <c r="C121" t="inlineStr">
        <is>
          <t>CVE-2026-22807 - vLLM auto_map Code Injection at Model Load (trust_remote_code Bypass)</t>
        </is>
      </c>
      <c r="E121" t="inlineStr">
        <is>
          <t>SA-12, SR-3, CM-5, SI-7</t>
        </is>
      </c>
      <c r="G121" t="inlineStr">
        <is>
          <t>P1</t>
        </is>
      </c>
      <c r="H121" t="inlineStr">
        <is>
          <t>Moderate</t>
        </is>
      </c>
      <c r="I121" t="inlineStr">
        <is>
          <t>Not Started</t>
        </is>
      </c>
    </row>
    <row r="122">
      <c r="A122" t="inlineStr">
        <is>
          <t>2026-04-24</t>
        </is>
      </c>
      <c r="B122" t="inlineStr">
        <is>
          <t>2026-0424-005</t>
        </is>
      </c>
      <c r="C122" t="inlineStr">
        <is>
          <t>Poetry Jailbreak - Universal Single-Shot Safety Bypass Across Frontier LLMs</t>
        </is>
      </c>
      <c r="E122" t="inlineStr">
        <is>
          <t>SI-10, SI-4, RA-5</t>
        </is>
      </c>
      <c r="G122" t="inlineStr">
        <is>
          <t>P2</t>
        </is>
      </c>
      <c r="H122" t="inlineStr">
        <is>
          <t>Moderate</t>
        </is>
      </c>
      <c r="I122" t="inlineStr">
        <is>
          <t>Not Started</t>
        </is>
      </c>
    </row>
    <row r="123">
      <c r="A123" t="inlineStr">
        <is>
          <t>2026-04-24</t>
        </is>
      </c>
      <c r="B123" t="inlineStr">
        <is>
          <t>2026-0424-006</t>
        </is>
      </c>
      <c r="C123" t="inlineStr">
        <is>
          <t>Enterprise AI Chat Exposure - 46.5M Messages / 728K Files / 3.68M RAG Chunks</t>
        </is>
      </c>
      <c r="E123" t="inlineStr">
        <is>
          <t>AC-3, SI-7, SI-10, AU-9, IR-4</t>
        </is>
      </c>
      <c r="G123" t="inlineStr">
        <is>
          <t>P1</t>
        </is>
      </c>
      <c r="H123" t="inlineStr">
        <is>
          <t>Moderate</t>
        </is>
      </c>
      <c r="I123" t="inlineStr">
        <is>
          <t>Not Started</t>
        </is>
      </c>
    </row>
    <row r="124">
      <c r="A124" t="inlineStr">
        <is>
          <t>2026-04-24</t>
        </is>
      </c>
      <c r="B124" t="inlineStr">
        <is>
          <t>2026-0424-007</t>
        </is>
      </c>
      <c r="C124" t="inlineStr">
        <is>
          <t>CrowdStrike 2026 Global Threat Report - AI Security Tools Hijacked at 90+ Organizations</t>
        </is>
      </c>
      <c r="E124" t="inlineStr">
        <is>
          <t>AC-3, AC-6, AU-12, IR-4, CM-3, PM-16</t>
        </is>
      </c>
      <c r="G124" t="inlineStr">
        <is>
          <t>P1</t>
        </is>
      </c>
      <c r="H124" t="inlineStr">
        <is>
          <t>Moderate</t>
        </is>
      </c>
      <c r="I124" t="inlineStr">
        <is>
          <t>Not Started</t>
        </is>
      </c>
    </row>
    <row r="125">
      <c r="A125" t="inlineStr">
        <is>
          <t>2026-04-24</t>
        </is>
      </c>
      <c r="B125" t="inlineStr">
        <is>
          <t>2026-0424-008</t>
        </is>
      </c>
      <c r="C125" t="inlineStr">
        <is>
          <t>PhantomRaven - 126 Malicious npm Packages Exploiting AI Package Hallucination</t>
        </is>
      </c>
      <c r="E125" t="inlineStr">
        <is>
          <t>SA-12, SR-3, SI-7, CM-8</t>
        </is>
      </c>
      <c r="G125" t="inlineStr">
        <is>
          <t>P1</t>
        </is>
      </c>
      <c r="H125" t="inlineStr">
        <is>
          <t>Moderate</t>
        </is>
      </c>
      <c r="I125" t="inlineStr">
        <is>
          <t>Not Started</t>
        </is>
      </c>
    </row>
    <row r="126">
      <c r="A126" t="inlineStr">
        <is>
          <t>2026-04-24</t>
        </is>
      </c>
      <c r="B126" t="inlineStr">
        <is>
          <t>2026-0424-009</t>
        </is>
      </c>
      <c r="C126" t="inlineStr">
        <is>
          <t>Postmark Impersonation MCP Server - Silent BCC Exfiltration of Every Agent Email</t>
        </is>
      </c>
      <c r="E126" t="inlineStr">
        <is>
          <t>SA-12, SR-3, SC-7, AU-12, SI-4</t>
        </is>
      </c>
      <c r="G126" t="inlineStr">
        <is>
          <t>P1</t>
        </is>
      </c>
      <c r="H126" t="inlineStr">
        <is>
          <t>Moderate</t>
        </is>
      </c>
      <c r="I126" t="inlineStr">
        <is>
          <t>Not Started</t>
        </is>
      </c>
    </row>
    <row r="127">
      <c r="A127" t="inlineStr">
        <is>
          <t>2026-04-24</t>
        </is>
      </c>
      <c r="B127" t="inlineStr">
        <is>
          <t>2026-0424-010</t>
        </is>
      </c>
      <c r="C127" t="inlineStr">
        <is>
          <t>CVE-2026-34753 - vLLM Batch Runner SSRF via download_bytes_from_url</t>
        </is>
      </c>
      <c r="E127" t="inlineStr">
        <is>
          <t>SC-7, SI-4, SI-10, RA-5</t>
        </is>
      </c>
      <c r="G127" t="inlineStr">
        <is>
          <t>P1</t>
        </is>
      </c>
      <c r="H127" t="inlineStr">
        <is>
          <t>Moderate</t>
        </is>
      </c>
      <c r="I127" t="inlineStr">
        <is>
          <t>Not Started</t>
        </is>
      </c>
    </row>
    <row r="128">
      <c r="A128" t="inlineStr">
        <is>
          <t>2026-04-24</t>
        </is>
      </c>
      <c r="B128" t="inlineStr">
        <is>
          <t>2026-0424-011</t>
        </is>
      </c>
      <c r="C128" t="inlineStr">
        <is>
          <t>CISA KEV Adds 8 Exploited Flaws - Cisco Catalyst SD-WAN Trio, April 23/May 4 Federal Deadlines</t>
        </is>
      </c>
      <c r="E128" t="inlineStr">
        <is>
          <t>SI-2, SI-5, CM-3, RA-5</t>
        </is>
      </c>
      <c r="G128" t="inlineStr">
        <is>
          <t>P1</t>
        </is>
      </c>
      <c r="H128" t="inlineStr">
        <is>
          <t>Moderate</t>
        </is>
      </c>
      <c r="I128" t="inlineStr">
        <is>
          <t>Not Started</t>
        </is>
      </c>
    </row>
    <row r="129">
      <c r="A129" t="inlineStr">
        <is>
          <t>2026-04-24</t>
        </is>
      </c>
      <c r="B129" t="inlineStr">
        <is>
          <t>2026-0424-012</t>
        </is>
      </c>
      <c r="C129" t="inlineStr">
        <is>
          <t>Microsoft April 2026 Patch Tuesday - 160+ Fixes Including 2 Zero-Days</t>
        </is>
      </c>
      <c r="E129" t="inlineStr">
        <is>
          <t>SI-2, SI-5, CM-3</t>
        </is>
      </c>
      <c r="G129" t="inlineStr">
        <is>
          <t>P2</t>
        </is>
      </c>
      <c r="H129" t="inlineStr">
        <is>
          <t>Moderate</t>
        </is>
      </c>
      <c r="I129" t="inlineStr">
        <is>
          <t>Not Started</t>
        </is>
      </c>
    </row>
    <row r="130">
      <c r="A130" t="inlineStr">
        <is>
          <t>2026-04-24</t>
        </is>
      </c>
      <c r="B130" t="inlineStr">
        <is>
          <t>2026-0424-013</t>
        </is>
      </c>
      <c r="C130" t="inlineStr">
        <is>
          <t>AI Voice-Clone Scam Wave - 1-in-10 Americans Affected, Congressional Hearings Open</t>
        </is>
      </c>
      <c r="E130" t="inlineStr">
        <is>
          <t>AT-2, IA-5, RA-3, PM-16</t>
        </is>
      </c>
      <c r="G130" t="inlineStr">
        <is>
          <t>P2</t>
        </is>
      </c>
      <c r="H130" t="inlineStr">
        <is>
          <t>Moderate</t>
        </is>
      </c>
      <c r="I130" t="inlineStr">
        <is>
          <t>Not Started</t>
        </is>
      </c>
    </row>
    <row r="131">
      <c r="A131" t="inlineStr">
        <is>
          <t>2026-04-24</t>
        </is>
      </c>
      <c r="B131" t="inlineStr">
        <is>
          <t>2026-0424-014</t>
        </is>
      </c>
      <c r="C131" t="inlineStr">
        <is>
          <t>IBM Announces Agentic Attack Defense Measures (Apr 15, 2026)</t>
        </is>
      </c>
      <c r="E131" t="inlineStr">
        <is>
          <t>PM-16, SA-11, CA-8</t>
        </is>
      </c>
      <c r="G131" t="inlineStr">
        <is>
          <t>P3</t>
        </is>
      </c>
      <c r="H131" t="inlineStr">
        <is>
          <t>Moderate</t>
        </is>
      </c>
      <c r="I131" t="inlineStr">
        <is>
          <t>Not Started</t>
        </is>
      </c>
    </row>
    <row r="132">
      <c r="A132" t="inlineStr">
        <is>
          <t>2026-04-24</t>
        </is>
      </c>
      <c r="B132" t="inlineStr">
        <is>
          <t>2026-0424-015</t>
        </is>
      </c>
      <c r="C132" t="inlineStr">
        <is>
          <t>MITRE ATLAS AI Service API Technique (AML.T0096) - SesameOp Case Study Promoted</t>
        </is>
      </c>
      <c r="E132" t="inlineStr">
        <is>
          <t>CA-8, PM-16, RA-3, SI-4</t>
        </is>
      </c>
      <c r="G132" t="inlineStr">
        <is>
          <t>P3</t>
        </is>
      </c>
      <c r="H132" t="inlineStr">
        <is>
          <t>Moderate</t>
        </is>
      </c>
      <c r="I132" t="inlineStr">
        <is>
          <t>Not Started</t>
        </is>
      </c>
    </row>
    <row r="133">
      <c r="A133" t="inlineStr">
        <is>
          <t>2026-04-24</t>
        </is>
      </c>
      <c r="B133" t="inlineStr">
        <is>
          <t>2026-0424-016</t>
        </is>
      </c>
      <c r="C133" t="inlineStr">
        <is>
          <t>NIST SP 800-53 COSAiS Control Overlays for AI - Q3 2026 Draft Window</t>
        </is>
      </c>
      <c r="E133" t="inlineStr">
        <is>
          <t>PM-1, PM-9, SA-8, SA-11</t>
        </is>
      </c>
      <c r="G133" t="inlineStr">
        <is>
          <t>P3</t>
        </is>
      </c>
      <c r="H133" t="inlineStr">
        <is>
          <t>Moderate</t>
        </is>
      </c>
      <c r="I133" t="inlineStr">
        <is>
          <t>Not Started</t>
        </is>
      </c>
    </row>
    <row r="134">
      <c r="A134" t="inlineStr">
        <is>
          <t>2026-04-24</t>
        </is>
      </c>
      <c r="B134" t="inlineStr">
        <is>
          <t>2026-0424-017</t>
        </is>
      </c>
      <c r="C134" t="inlineStr">
        <is>
          <t>LiteLLM Security Hardening - CVE-2026-30623 Fixed in v1.83.6-nightly / v1.83.7-stable</t>
        </is>
      </c>
      <c r="E134" t="inlineStr">
        <is>
          <t>SI-2, SA-11, CM-3</t>
        </is>
      </c>
      <c r="G134" t="inlineStr">
        <is>
          <t>P3</t>
        </is>
      </c>
      <c r="H134" t="inlineStr">
        <is>
          <t>Moderate</t>
        </is>
      </c>
      <c r="I134" t="inlineStr">
        <is>
          <t>Not Started</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134"/>
  <sheetViews>
    <sheetView zoomScaleNormal="100" workbookViewId="0">
      <pane ySplit="1" topLeftCell="A2" activePane="bottomLeft" state="frozen"/>
      <selection pane="bottomLeft" activeCell="A1" sqref="A1"/>
    </sheetView>
  </sheetViews>
  <sheetFormatPr baseColWidth="8" defaultColWidth="8.6328125" defaultRowHeight="14.5"/>
  <cols>
    <col width="12" customWidth="1" min="1" max="1"/>
    <col width="15" customWidth="1" min="2" max="2"/>
    <col width="35" customWidth="1" min="3" max="3"/>
    <col width="18" customWidth="1" min="4" max="5"/>
    <col width="25" customWidth="1" min="6" max="6"/>
    <col width="15" customWidth="1" min="7" max="8"/>
    <col width="25" customWidth="1" min="9" max="9"/>
  </cols>
  <sheetData>
    <row r="1" ht="28" customHeight="1">
      <c r="A1" s="2" t="inlineStr">
        <is>
          <t>Date</t>
        </is>
      </c>
      <c r="B1" s="2" t="inlineStr">
        <is>
          <t>Item ID</t>
        </is>
      </c>
      <c r="C1" s="2" t="inlineStr">
        <is>
          <t>Threat/Item Title</t>
        </is>
      </c>
      <c r="D1" s="2" t="inlineStr">
        <is>
          <t>ISO 27001 Clause</t>
        </is>
      </c>
      <c r="E1" s="2" t="inlineStr">
        <is>
          <t>ISO 27002 Control</t>
        </is>
      </c>
      <c r="F1" s="2" t="inlineStr">
        <is>
          <t>Control Objective</t>
        </is>
      </c>
      <c r="G1" s="2" t="inlineStr">
        <is>
          <t>Applicability</t>
        </is>
      </c>
      <c r="H1" s="2" t="inlineStr">
        <is>
          <t>Risk Treatment</t>
        </is>
      </c>
      <c r="I1" s="2" t="inlineStr">
        <is>
          <t>Statement of Applicability Notes</t>
        </is>
      </c>
    </row>
    <row r="2">
      <c r="A2" t="inlineStr">
        <is>
          <t>2026-04-07</t>
        </is>
      </c>
      <c r="B2" t="inlineStr">
        <is>
          <t>2026-0407-001</t>
        </is>
      </c>
      <c r="C2" t="inlineStr">
        <is>
          <t>OpenClaw AI Agent Framework Compromise</t>
        </is>
      </c>
      <c r="D2" t="inlineStr">
        <is>
          <t>A.5</t>
        </is>
      </c>
      <c r="E2" t="inlineStr">
        <is>
          <t>A.15.1</t>
        </is>
      </c>
      <c r="G2" t="inlineStr">
        <is>
          <t>Yes</t>
        </is>
      </c>
      <c r="H2" t="inlineStr">
        <is>
          <t>Mitigate</t>
        </is>
      </c>
    </row>
    <row r="3">
      <c r="A3" t="inlineStr">
        <is>
          <t>2026-04-07</t>
        </is>
      </c>
      <c r="B3" t="inlineStr">
        <is>
          <t>2026-0407-002</t>
        </is>
      </c>
      <c r="C3" t="inlineStr">
        <is>
          <t>LiteLLM CI Pipeline Backdoor</t>
        </is>
      </c>
      <c r="D3" t="inlineStr">
        <is>
          <t>A.5</t>
        </is>
      </c>
      <c r="E3" t="inlineStr">
        <is>
          <t>A.14.2.7</t>
        </is>
      </c>
      <c r="G3" t="inlineStr">
        <is>
          <t>Yes</t>
        </is>
      </c>
      <c r="H3" t="inlineStr">
        <is>
          <t>Mitigate</t>
        </is>
      </c>
    </row>
    <row r="4">
      <c r="A4" t="inlineStr">
        <is>
          <t>2026-04-07</t>
        </is>
      </c>
      <c r="B4" t="inlineStr">
        <is>
          <t>2026-0407-003</t>
        </is>
      </c>
      <c r="C4" t="inlineStr">
        <is>
          <t>Langflow Zero-Auth Compromise</t>
        </is>
      </c>
      <c r="D4" t="inlineStr">
        <is>
          <t>A.5</t>
        </is>
      </c>
      <c r="E4" t="inlineStr">
        <is>
          <t>A.9.4</t>
        </is>
      </c>
      <c r="G4" t="inlineStr">
        <is>
          <t>Yes</t>
        </is>
      </c>
      <c r="H4" t="inlineStr">
        <is>
          <t>Mitigate</t>
        </is>
      </c>
    </row>
    <row r="5">
      <c r="A5" t="inlineStr">
        <is>
          <t>2026-04-07</t>
        </is>
      </c>
      <c r="B5" t="inlineStr">
        <is>
          <t>2026-0407-004</t>
        </is>
      </c>
      <c r="C5" t="inlineStr">
        <is>
          <t>Prompt Injection 73% Production Rate</t>
        </is>
      </c>
      <c r="D5" t="inlineStr">
        <is>
          <t>A.5</t>
        </is>
      </c>
      <c r="E5" t="inlineStr">
        <is>
          <t>A.14.2.5</t>
        </is>
      </c>
      <c r="G5" t="inlineStr">
        <is>
          <t>Yes</t>
        </is>
      </c>
      <c r="H5" t="inlineStr">
        <is>
          <t>Mitigate</t>
        </is>
      </c>
    </row>
    <row r="6">
      <c r="A6" t="inlineStr">
        <is>
          <t>2026-04-07</t>
        </is>
      </c>
      <c r="B6" t="inlineStr">
        <is>
          <t>2026-0407-005</t>
        </is>
      </c>
      <c r="C6" t="inlineStr">
        <is>
          <t>MCP Security Vulnerabilities</t>
        </is>
      </c>
      <c r="D6" t="inlineStr">
        <is>
          <t>A.5</t>
        </is>
      </c>
      <c r="E6" t="inlineStr">
        <is>
          <t>A.14.2.5</t>
        </is>
      </c>
      <c r="G6" t="inlineStr">
        <is>
          <t>Yes</t>
        </is>
      </c>
      <c r="H6" t="inlineStr">
        <is>
          <t>Mitigate</t>
        </is>
      </c>
    </row>
    <row r="7">
      <c r="A7" t="inlineStr">
        <is>
          <t>2026-04-07</t>
        </is>
      </c>
      <c r="B7" t="inlineStr">
        <is>
          <t>2026-0407-006</t>
        </is>
      </c>
      <c r="C7" t="inlineStr">
        <is>
          <t>RAG Poisoning Attacks</t>
        </is>
      </c>
      <c r="D7" t="inlineStr">
        <is>
          <t>A.5</t>
        </is>
      </c>
      <c r="E7" t="inlineStr">
        <is>
          <t>A.14.1.2</t>
        </is>
      </c>
      <c r="G7" t="inlineStr">
        <is>
          <t>Yes</t>
        </is>
      </c>
      <c r="H7" t="inlineStr">
        <is>
          <t>Mitigate</t>
        </is>
      </c>
    </row>
    <row r="8">
      <c r="A8" t="inlineStr">
        <is>
          <t>2026-04-07</t>
        </is>
      </c>
      <c r="B8" t="inlineStr">
        <is>
          <t>2026-0407-007</t>
        </is>
      </c>
      <c r="C8" t="inlineStr">
        <is>
          <t>Drift Protocol $285M Theft (DPRK)</t>
        </is>
      </c>
      <c r="D8" t="inlineStr">
        <is>
          <t>A.5</t>
        </is>
      </c>
      <c r="E8" t="inlineStr">
        <is>
          <t>A.16.1</t>
        </is>
      </c>
      <c r="G8" t="inlineStr">
        <is>
          <t>Yes</t>
        </is>
      </c>
      <c r="H8" t="inlineStr">
        <is>
          <t>Mitigate</t>
        </is>
      </c>
    </row>
    <row r="9">
      <c r="A9" t="inlineStr">
        <is>
          <t>2026-04-07</t>
        </is>
      </c>
      <c r="B9" t="inlineStr">
        <is>
          <t>2026-0407-008</t>
        </is>
      </c>
      <c r="C9" t="inlineStr">
        <is>
          <t>Snowflake Mass Breach</t>
        </is>
      </c>
      <c r="D9" t="inlineStr">
        <is>
          <t>A.5</t>
        </is>
      </c>
      <c r="E9" t="inlineStr">
        <is>
          <t>A.9.4</t>
        </is>
      </c>
      <c r="G9" t="inlineStr">
        <is>
          <t>Yes</t>
        </is>
      </c>
      <c r="H9" t="inlineStr">
        <is>
          <t>Mitigate</t>
        </is>
      </c>
    </row>
    <row r="10">
      <c r="A10" t="inlineStr">
        <is>
          <t>2026-04-07</t>
        </is>
      </c>
      <c r="B10" t="inlineStr">
        <is>
          <t>2026-0407-009</t>
        </is>
      </c>
      <c r="C10" t="inlineStr">
        <is>
          <t>Fortinet FortiClient EMS Zero-Day</t>
        </is>
      </c>
      <c r="D10" t="inlineStr">
        <is>
          <t>A.5</t>
        </is>
      </c>
      <c r="E10" t="inlineStr">
        <is>
          <t>A.12.6</t>
        </is>
      </c>
      <c r="G10" t="inlineStr">
        <is>
          <t>Yes</t>
        </is>
      </c>
      <c r="H10" t="inlineStr">
        <is>
          <t>Mitigate</t>
        </is>
      </c>
    </row>
    <row r="11">
      <c r="A11" t="inlineStr">
        <is>
          <t>2026-04-07</t>
        </is>
      </c>
      <c r="B11" t="inlineStr">
        <is>
          <t>2026-0407-010</t>
        </is>
      </c>
      <c r="C11" t="inlineStr">
        <is>
          <t>97% Cloud-Native Incidents (Red Hat)</t>
        </is>
      </c>
      <c r="D11" t="inlineStr">
        <is>
          <t>A.5</t>
        </is>
      </c>
      <c r="E11" t="inlineStr">
        <is>
          <t>A.12.1</t>
        </is>
      </c>
      <c r="G11" t="inlineStr">
        <is>
          <t>Yes</t>
        </is>
      </c>
      <c r="H11" t="inlineStr">
        <is>
          <t>Mitigate</t>
        </is>
      </c>
    </row>
    <row r="12">
      <c r="A12" t="inlineStr">
        <is>
          <t>2026-04-07</t>
        </is>
      </c>
      <c r="B12" t="inlineStr">
        <is>
          <t>2026-0407-011</t>
        </is>
      </c>
      <c r="C12" t="inlineStr">
        <is>
          <t>Iran Password Spraying M365</t>
        </is>
      </c>
      <c r="D12" t="inlineStr">
        <is>
          <t>A.5</t>
        </is>
      </c>
      <c r="E12" t="inlineStr">
        <is>
          <t>A.9.4</t>
        </is>
      </c>
      <c r="G12" t="inlineStr">
        <is>
          <t>Yes</t>
        </is>
      </c>
      <c r="H12" t="inlineStr">
        <is>
          <t>Mitigate</t>
        </is>
      </c>
    </row>
    <row r="13">
      <c r="A13" t="inlineStr">
        <is>
          <t>2026-04-07</t>
        </is>
      </c>
      <c r="B13" t="inlineStr">
        <is>
          <t>2026-0407-012</t>
        </is>
      </c>
      <c r="C13" t="inlineStr">
        <is>
          <t>Flowise AI Platform Flaw</t>
        </is>
      </c>
      <c r="D13" t="inlineStr">
        <is>
          <t>A.5</t>
        </is>
      </c>
      <c r="E13" t="inlineStr">
        <is>
          <t>A.12.6</t>
        </is>
      </c>
      <c r="G13" t="inlineStr">
        <is>
          <t>Yes</t>
        </is>
      </c>
      <c r="H13" t="inlineStr">
        <is>
          <t>Mitigate</t>
        </is>
      </c>
    </row>
    <row r="14">
      <c r="A14" t="inlineStr">
        <is>
          <t>2026-04-07</t>
        </is>
      </c>
      <c r="B14" t="inlineStr">
        <is>
          <t>2026-0407-013</t>
        </is>
      </c>
      <c r="C14" t="inlineStr">
        <is>
          <t>Healthcare Ransomware (Interlock)</t>
        </is>
      </c>
      <c r="D14" t="inlineStr">
        <is>
          <t>A.5</t>
        </is>
      </c>
      <c r="E14" t="inlineStr">
        <is>
          <t>A.16.1</t>
        </is>
      </c>
      <c r="G14" t="inlineStr">
        <is>
          <t>Yes</t>
        </is>
      </c>
      <c r="H14" t="inlineStr">
        <is>
          <t>Mitigate</t>
        </is>
      </c>
    </row>
    <row r="15">
      <c r="A15" t="inlineStr">
        <is>
          <t>2026-04-07</t>
        </is>
      </c>
      <c r="B15" t="inlineStr">
        <is>
          <t>2026-0407-014</t>
        </is>
      </c>
      <c r="C15" t="inlineStr">
        <is>
          <t>OWASP GenAI Red Teaming Initiative</t>
        </is>
      </c>
      <c r="D15" t="inlineStr">
        <is>
          <t>A.5</t>
        </is>
      </c>
      <c r="E15" t="inlineStr">
        <is>
          <t>A.18.2</t>
        </is>
      </c>
      <c r="G15" t="inlineStr">
        <is>
          <t>Yes</t>
        </is>
      </c>
      <c r="H15" t="inlineStr">
        <is>
          <t>Mitigate</t>
        </is>
      </c>
    </row>
    <row r="16">
      <c r="A16" t="inlineStr">
        <is>
          <t>2026-04-07</t>
        </is>
      </c>
      <c r="B16" t="inlineStr">
        <is>
          <t>2026-0407-015</t>
        </is>
      </c>
      <c r="C16" t="inlineStr">
        <is>
          <t>NIST Cyber AI Profile / COSAiS</t>
        </is>
      </c>
      <c r="D16" t="inlineStr">
        <is>
          <t>A.5</t>
        </is>
      </c>
      <c r="E16" t="inlineStr">
        <is>
          <t>A.5.1</t>
        </is>
      </c>
      <c r="G16" t="inlineStr">
        <is>
          <t>Yes</t>
        </is>
      </c>
      <c r="H16" t="inlineStr">
        <is>
          <t>Mitigate</t>
        </is>
      </c>
    </row>
    <row r="17">
      <c r="A17" t="inlineStr">
        <is>
          <t>2026-04-08</t>
        </is>
      </c>
      <c r="B17" t="inlineStr">
        <is>
          <t>2026-0408-001</t>
        </is>
      </c>
      <c r="C17" t="inlineStr">
        <is>
          <t>Axios NPM Package Hijack — RAT Deployment</t>
        </is>
      </c>
      <c r="D17" t="inlineStr">
        <is>
          <t>A.14</t>
        </is>
      </c>
      <c r="E17" t="inlineStr">
        <is>
          <t>A.14.2.7</t>
        </is>
      </c>
      <c r="G17" t="inlineStr">
        <is>
          <t>Yes</t>
        </is>
      </c>
      <c r="H17" t="inlineStr">
        <is>
          <t>Mitigate</t>
        </is>
      </c>
    </row>
    <row r="18">
      <c r="A18" t="inlineStr">
        <is>
          <t>2026-04-08</t>
        </is>
      </c>
      <c r="B18" t="inlineStr">
        <is>
          <t>2026-0408-002</t>
        </is>
      </c>
      <c r="C18" t="inlineStr">
        <is>
          <t>LiteLLM PyPI Infostealer (TeamPCP)</t>
        </is>
      </c>
      <c r="D18" t="inlineStr">
        <is>
          <t>A.14</t>
        </is>
      </c>
      <c r="E18" t="inlineStr">
        <is>
          <t>A.14.2.7</t>
        </is>
      </c>
      <c r="G18" t="inlineStr">
        <is>
          <t>Yes</t>
        </is>
      </c>
      <c r="H18" t="inlineStr">
        <is>
          <t>Mitigate</t>
        </is>
      </c>
    </row>
    <row r="19">
      <c r="A19" t="inlineStr">
        <is>
          <t>2026-04-08</t>
        </is>
      </c>
      <c r="B19" t="inlineStr">
        <is>
          <t>2026-0408-003</t>
        </is>
      </c>
      <c r="C19" t="inlineStr">
        <is>
          <t>Citrix NetScaler ADC/Gateway CVE-2026-3055</t>
        </is>
      </c>
      <c r="D19" t="inlineStr">
        <is>
          <t>A.12</t>
        </is>
      </c>
      <c r="E19" t="inlineStr">
        <is>
          <t>A.12.6</t>
        </is>
      </c>
      <c r="G19" t="inlineStr">
        <is>
          <t>Yes</t>
        </is>
      </c>
      <c r="H19" t="inlineStr">
        <is>
          <t>Mitigate</t>
        </is>
      </c>
    </row>
    <row r="20">
      <c r="A20" t="inlineStr">
        <is>
          <t>2026-04-08</t>
        </is>
      </c>
      <c r="B20" t="inlineStr">
        <is>
          <t>2026-0408-004</t>
        </is>
      </c>
      <c r="C20" t="inlineStr">
        <is>
          <t>ChipSoft Healthcare Ransomware — 80% Dutch Hospitals</t>
        </is>
      </c>
      <c r="D20" t="inlineStr">
        <is>
          <t>A.16</t>
        </is>
      </c>
      <c r="E20" t="inlineStr">
        <is>
          <t>A.16.1</t>
        </is>
      </c>
      <c r="G20" t="inlineStr">
        <is>
          <t>Yes</t>
        </is>
      </c>
      <c r="H20" t="inlineStr">
        <is>
          <t>Mitigate</t>
        </is>
      </c>
    </row>
    <row r="21">
      <c r="A21" t="inlineStr">
        <is>
          <t>2026-04-08</t>
        </is>
      </c>
      <c r="B21" t="inlineStr">
        <is>
          <t>2026-0408-005</t>
        </is>
      </c>
      <c r="C21" t="inlineStr">
        <is>
          <t>LLMjacking — Operation Bizarre Bazaar</t>
        </is>
      </c>
      <c r="D21" t="inlineStr">
        <is>
          <t>A.9</t>
        </is>
      </c>
      <c r="E21" t="inlineStr">
        <is>
          <t>A.9.4</t>
        </is>
      </c>
      <c r="G21" t="inlineStr">
        <is>
          <t>Yes</t>
        </is>
      </c>
      <c r="H21" t="inlineStr">
        <is>
          <t>Mitigate</t>
        </is>
      </c>
    </row>
    <row r="22">
      <c r="A22" t="inlineStr">
        <is>
          <t>2026-04-08</t>
        </is>
      </c>
      <c r="B22" t="inlineStr">
        <is>
          <t>2026-0408-006</t>
        </is>
      </c>
      <c r="C22" t="inlineStr">
        <is>
          <t>MCP Sampling Attack Vectors (Unit42)</t>
        </is>
      </c>
      <c r="D22" t="inlineStr">
        <is>
          <t>A.14</t>
        </is>
      </c>
      <c r="E22" t="inlineStr">
        <is>
          <t>A.14.2.5</t>
        </is>
      </c>
      <c r="G22" t="inlineStr">
        <is>
          <t>Yes</t>
        </is>
      </c>
      <c r="H22" t="inlineStr">
        <is>
          <t>Mitigate</t>
        </is>
      </c>
    </row>
    <row r="23">
      <c r="A23" t="inlineStr">
        <is>
          <t>2026-04-08</t>
        </is>
      </c>
      <c r="B23" t="inlineStr">
        <is>
          <t>2026-0408-007</t>
        </is>
      </c>
      <c r="C23" t="inlineStr">
        <is>
          <t>Shadow AI — Primary Enterprise Data Leakage Vector</t>
        </is>
      </c>
      <c r="D23" t="inlineStr">
        <is>
          <t>A.8</t>
        </is>
      </c>
      <c r="E23" t="inlineStr">
        <is>
          <t>A.8.1</t>
        </is>
      </c>
      <c r="G23" t="inlineStr">
        <is>
          <t>Yes</t>
        </is>
      </c>
      <c r="H23" t="inlineStr">
        <is>
          <t>Mitigate</t>
        </is>
      </c>
    </row>
    <row r="24">
      <c r="A24" t="inlineStr">
        <is>
          <t>2026-04-08</t>
        </is>
      </c>
      <c r="B24" t="inlineStr">
        <is>
          <t>2026-0408-008</t>
        </is>
      </c>
      <c r="C24" t="inlineStr">
        <is>
          <t>Agentic AI Security Gap — 83% Deploy, 29% Ready</t>
        </is>
      </c>
      <c r="D24" t="inlineStr">
        <is>
          <t>A.5</t>
        </is>
      </c>
      <c r="E24" t="inlineStr">
        <is>
          <t>A.5.1</t>
        </is>
      </c>
      <c r="G24" t="inlineStr">
        <is>
          <t>Yes</t>
        </is>
      </c>
      <c r="H24" t="inlineStr">
        <is>
          <t>Mitigate</t>
        </is>
      </c>
    </row>
    <row r="25">
      <c r="A25" t="inlineStr">
        <is>
          <t>2026-04-08</t>
        </is>
      </c>
      <c r="B25" t="inlineStr">
        <is>
          <t>2026-0408-009</t>
        </is>
      </c>
      <c r="C25" t="inlineStr">
        <is>
          <t>Chaos Malware Cloud-Targeting Variant</t>
        </is>
      </c>
      <c r="D25" t="inlineStr">
        <is>
          <t>A.12</t>
        </is>
      </c>
      <c r="E25" t="inlineStr">
        <is>
          <t>A.12.2</t>
        </is>
      </c>
      <c r="G25" t="inlineStr">
        <is>
          <t>Yes</t>
        </is>
      </c>
      <c r="H25" t="inlineStr">
        <is>
          <t>Mitigate</t>
        </is>
      </c>
    </row>
    <row r="26">
      <c r="A26" t="inlineStr">
        <is>
          <t>2026-04-08</t>
        </is>
      </c>
      <c r="B26" t="inlineStr">
        <is>
          <t>2026-0408-010</t>
        </is>
      </c>
      <c r="C26" t="inlineStr">
        <is>
          <t>Handala Ransomware Group Surge — 23 Victims March</t>
        </is>
      </c>
      <c r="D26" t="inlineStr">
        <is>
          <t>A.16</t>
        </is>
      </c>
      <c r="E26" t="inlineStr">
        <is>
          <t>A.16.1</t>
        </is>
      </c>
      <c r="G26" t="inlineStr">
        <is>
          <t>Yes</t>
        </is>
      </c>
      <c r="H26" t="inlineStr">
        <is>
          <t>Mitigate</t>
        </is>
      </c>
    </row>
    <row r="27">
      <c r="A27" t="inlineStr">
        <is>
          <t>2026-04-08</t>
        </is>
      </c>
      <c r="B27" t="inlineStr">
        <is>
          <t>2026-0408-011</t>
        </is>
      </c>
      <c r="C27" t="inlineStr">
        <is>
          <t>LLM Agent Memory Poisoning Attacks</t>
        </is>
      </c>
      <c r="D27" t="inlineStr">
        <is>
          <t>A.14</t>
        </is>
      </c>
      <c r="E27" t="inlineStr">
        <is>
          <t>A.14.1.2</t>
        </is>
      </c>
      <c r="G27" t="inlineStr">
        <is>
          <t>Yes</t>
        </is>
      </c>
      <c r="H27" t="inlineStr">
        <is>
          <t>Mitigate</t>
        </is>
      </c>
    </row>
    <row r="28">
      <c r="A28" t="inlineStr">
        <is>
          <t>2026-04-08</t>
        </is>
      </c>
      <c r="B28" t="inlineStr">
        <is>
          <t>2026-0408-012</t>
        </is>
      </c>
      <c r="C28" t="inlineStr">
        <is>
          <t>Middlesex County Government Systems Attack</t>
        </is>
      </c>
      <c r="D28" t="inlineStr">
        <is>
          <t>A.16</t>
        </is>
      </c>
      <c r="E28" t="inlineStr">
        <is>
          <t>A.16.1</t>
        </is>
      </c>
      <c r="G28" t="inlineStr">
        <is>
          <t>Yes</t>
        </is>
      </c>
      <c r="H28" t="inlineStr">
        <is>
          <t>Mitigate</t>
        </is>
      </c>
    </row>
    <row r="29">
      <c r="A29" t="inlineStr">
        <is>
          <t>2026-04-08</t>
        </is>
      </c>
      <c r="B29" t="inlineStr">
        <is>
          <t>2026-0408-013</t>
        </is>
      </c>
      <c r="C29" t="inlineStr">
        <is>
          <t>Qilin RaaS — 1,800+ Cumulative Victims</t>
        </is>
      </c>
      <c r="D29" t="inlineStr">
        <is>
          <t>A.16</t>
        </is>
      </c>
      <c r="E29" t="inlineStr">
        <is>
          <t>A.16.1</t>
        </is>
      </c>
      <c r="G29" t="inlineStr">
        <is>
          <t>Yes</t>
        </is>
      </c>
      <c r="H29" t="inlineStr">
        <is>
          <t>Mitigate</t>
        </is>
      </c>
    </row>
    <row r="30">
      <c r="A30" t="inlineStr">
        <is>
          <t>2026-04-08</t>
        </is>
      </c>
      <c r="B30" t="inlineStr">
        <is>
          <t>2026-0408-014</t>
        </is>
      </c>
      <c r="C30" t="inlineStr">
        <is>
          <t>OWASP Top 10 for Agentic Applications 2026</t>
        </is>
      </c>
      <c r="D30" t="inlineStr">
        <is>
          <t>A.18</t>
        </is>
      </c>
      <c r="E30" t="inlineStr">
        <is>
          <t>A.18.2</t>
        </is>
      </c>
      <c r="G30" t="inlineStr">
        <is>
          <t>Yes</t>
        </is>
      </c>
      <c r="H30" t="inlineStr">
        <is>
          <t>Mitigate</t>
        </is>
      </c>
    </row>
    <row r="31">
      <c r="A31" t="inlineStr">
        <is>
          <t>2026-04-08</t>
        </is>
      </c>
      <c r="B31" t="inlineStr">
        <is>
          <t>2026-0408-015</t>
        </is>
      </c>
      <c r="C31" t="inlineStr">
        <is>
          <t>Cisco State of AI Security 2026 Report</t>
        </is>
      </c>
      <c r="D31" t="inlineStr">
        <is>
          <t>A.5</t>
        </is>
      </c>
      <c r="E31" t="inlineStr">
        <is>
          <t>A.5.1</t>
        </is>
      </c>
      <c r="G31" t="inlineStr">
        <is>
          <t>Yes</t>
        </is>
      </c>
      <c r="H31" t="inlineStr">
        <is>
          <t>Mitigate</t>
        </is>
      </c>
    </row>
    <row r="32">
      <c r="A32" t="inlineStr">
        <is>
          <t>2026-04-09</t>
        </is>
      </c>
      <c r="B32" t="inlineStr">
        <is>
          <t>2026-0409-001</t>
        </is>
      </c>
      <c r="C32" t="inlineStr">
        <is>
          <t>EchoLeak: M365 Copilot Zero-Click Data Exfiltration</t>
        </is>
      </c>
      <c r="D32" t="inlineStr">
        <is>
          <t>A.14</t>
        </is>
      </c>
      <c r="E32" t="inlineStr">
        <is>
          <t>A.14.2.5</t>
        </is>
      </c>
      <c r="G32" t="inlineStr">
        <is>
          <t>Yes</t>
        </is>
      </c>
      <c r="H32" t="inlineStr">
        <is>
          <t>Mitigate</t>
        </is>
      </c>
    </row>
    <row r="33">
      <c r="A33" t="inlineStr">
        <is>
          <t>2026-04-09</t>
        </is>
      </c>
      <c r="B33" t="inlineStr">
        <is>
          <t>2026-0409-002</t>
        </is>
      </c>
      <c r="C33" t="inlineStr">
        <is>
          <t>OpenClaw Malicious Marketplace Skills &amp; WebSocket Hijack</t>
        </is>
      </c>
      <c r="D33" t="inlineStr">
        <is>
          <t>A.15</t>
        </is>
      </c>
      <c r="E33" t="inlineStr">
        <is>
          <t>A.15.1</t>
        </is>
      </c>
      <c r="G33" t="inlineStr">
        <is>
          <t>Yes</t>
        </is>
      </c>
      <c r="H33" t="inlineStr">
        <is>
          <t>Mitigate</t>
        </is>
      </c>
    </row>
    <row r="34">
      <c r="A34" t="inlineStr">
        <is>
          <t>2026-04-09</t>
        </is>
      </c>
      <c r="B34" t="inlineStr">
        <is>
          <t>2026-0409-003</t>
        </is>
      </c>
      <c r="C34" t="inlineStr">
        <is>
          <t>MCP Security Audit: 43% Vulnerable, 30+ CVEs in 60 Days</t>
        </is>
      </c>
      <c r="D34" t="inlineStr">
        <is>
          <t>A.14</t>
        </is>
      </c>
      <c r="E34" t="inlineStr">
        <is>
          <t>A.14.2.5</t>
        </is>
      </c>
      <c r="G34" t="inlineStr">
        <is>
          <t>Yes</t>
        </is>
      </c>
      <c r="H34" t="inlineStr">
        <is>
          <t>Mitigate</t>
        </is>
      </c>
    </row>
    <row r="35">
      <c r="A35" t="inlineStr">
        <is>
          <t>2026-04-09</t>
        </is>
      </c>
      <c r="B35" t="inlineStr">
        <is>
          <t>2026-0409-004</t>
        </is>
      </c>
      <c r="C35" t="inlineStr">
        <is>
          <t>Indirect Prompt Injection — 80% SSH Key Exfiltration via Poisoned Email</t>
        </is>
      </c>
      <c r="D35" t="inlineStr">
        <is>
          <t>A.14</t>
        </is>
      </c>
      <c r="E35" t="inlineStr">
        <is>
          <t>A.14.2.5</t>
        </is>
      </c>
      <c r="G35" t="inlineStr">
        <is>
          <t>Yes</t>
        </is>
      </c>
      <c r="H35" t="inlineStr">
        <is>
          <t>Mitigate</t>
        </is>
      </c>
    </row>
    <row r="36">
      <c r="A36" t="inlineStr">
        <is>
          <t>2026-04-09</t>
        </is>
      </c>
      <c r="B36" t="inlineStr">
        <is>
          <t>2026-0409-005</t>
        </is>
      </c>
      <c r="C36" t="inlineStr">
        <is>
          <t>arXiv:2604.03081 — Supply-Chain Poisoning in LLM Coding Agent Skill Ecosystems</t>
        </is>
      </c>
      <c r="D36" t="inlineStr">
        <is>
          <t>A.14</t>
        </is>
      </c>
      <c r="E36" t="inlineStr">
        <is>
          <t>A.14.2.7</t>
        </is>
      </c>
      <c r="G36" t="inlineStr">
        <is>
          <t>Yes</t>
        </is>
      </c>
      <c r="H36" t="inlineStr">
        <is>
          <t>Mitigate</t>
        </is>
      </c>
    </row>
    <row r="37">
      <c r="A37" t="inlineStr">
        <is>
          <t>2026-04-09</t>
        </is>
      </c>
      <c r="B37" t="inlineStr">
        <is>
          <t>2026-0409-006</t>
        </is>
      </c>
      <c r="C37" t="inlineStr">
        <is>
          <t>AI Trading Agent Vulnerability — $45M Crypto Protocol Breach</t>
        </is>
      </c>
      <c r="D37" t="inlineStr">
        <is>
          <t>A.9</t>
        </is>
      </c>
      <c r="E37" t="inlineStr">
        <is>
          <t>A.9.4</t>
        </is>
      </c>
      <c r="G37" t="inlineStr">
        <is>
          <t>Yes</t>
        </is>
      </c>
      <c r="H37" t="inlineStr">
        <is>
          <t>Mitigate</t>
        </is>
      </c>
    </row>
    <row r="38">
      <c r="A38" t="inlineStr">
        <is>
          <t>2026-04-09</t>
        </is>
      </c>
      <c r="B38" t="inlineStr">
        <is>
          <t>2026-0409-007</t>
        </is>
      </c>
      <c r="C38" t="inlineStr">
        <is>
          <t>Axios NPM Supply Chain — Google Attributes to DPRK UNC1069</t>
        </is>
      </c>
      <c r="D38" t="inlineStr">
        <is>
          <t>A.14</t>
        </is>
      </c>
      <c r="E38" t="inlineStr">
        <is>
          <t>A.14.2.7</t>
        </is>
      </c>
      <c r="G38" t="inlineStr">
        <is>
          <t>Yes</t>
        </is>
      </c>
      <c r="H38" t="inlineStr">
        <is>
          <t>Mitigate</t>
        </is>
      </c>
    </row>
    <row r="39">
      <c r="A39" t="inlineStr">
        <is>
          <t>2026-04-09</t>
        </is>
      </c>
      <c r="B39" t="inlineStr">
        <is>
          <t>2026-0409-008</t>
        </is>
      </c>
      <c r="C39" t="inlineStr">
        <is>
          <t>Mercor AI $10B Breach — 4TB Data via LiteLLM (Lapsus$ / TeamPCP)</t>
        </is>
      </c>
      <c r="D39" t="inlineStr">
        <is>
          <t>A.16</t>
        </is>
      </c>
      <c r="E39" t="inlineStr">
        <is>
          <t>A.16.1</t>
        </is>
      </c>
      <c r="G39" t="inlineStr">
        <is>
          <t>Yes</t>
        </is>
      </c>
      <c r="H39" t="inlineStr">
        <is>
          <t>Mitigate</t>
        </is>
      </c>
    </row>
    <row r="40">
      <c r="A40" t="inlineStr">
        <is>
          <t>2026-04-09</t>
        </is>
      </c>
      <c r="B40" t="inlineStr">
        <is>
          <t>2026-0409-009</t>
        </is>
      </c>
      <c r="C40" t="inlineStr">
        <is>
          <t>Trivy Scanner Compromise + Anthropic Source Code Leak (10-Day Wave)</t>
        </is>
      </c>
      <c r="D40" t="inlineStr">
        <is>
          <t>A.14</t>
        </is>
      </c>
      <c r="E40" t="inlineStr">
        <is>
          <t>A.14.2.7</t>
        </is>
      </c>
      <c r="G40" t="inlineStr">
        <is>
          <t>Yes</t>
        </is>
      </c>
      <c r="H40" t="inlineStr">
        <is>
          <t>Mitigate</t>
        </is>
      </c>
    </row>
    <row r="41">
      <c r="A41" t="inlineStr">
        <is>
          <t>2026-04-09</t>
        </is>
      </c>
      <c r="B41" t="inlineStr">
        <is>
          <t>2026-0409-010</t>
        </is>
      </c>
      <c r="C41" t="inlineStr">
        <is>
          <t>Fortinet CVE-2026-35616 Patched — Pre-Auth RCE (CVSS 9.1, CISA KEV)</t>
        </is>
      </c>
      <c r="D41" t="inlineStr">
        <is>
          <t>A.12</t>
        </is>
      </c>
      <c r="E41" t="inlineStr">
        <is>
          <t>A.12.6.1</t>
        </is>
      </c>
      <c r="G41" t="inlineStr">
        <is>
          <t>Yes</t>
        </is>
      </c>
      <c r="H41" t="inlineStr">
        <is>
          <t>Mitigate</t>
        </is>
      </c>
    </row>
    <row r="42">
      <c r="A42" t="inlineStr">
        <is>
          <t>2026-04-09</t>
        </is>
      </c>
      <c r="B42" t="inlineStr">
        <is>
          <t>2026-0409-011</t>
        </is>
      </c>
      <c r="C42" t="inlineStr">
        <is>
          <t>Chrome Zero-Day CVE-2026-5281 — Use-After-Free in Dawn (4th in 2026)</t>
        </is>
      </c>
      <c r="D42" t="inlineStr">
        <is>
          <t>A.12</t>
        </is>
      </c>
      <c r="E42" t="inlineStr">
        <is>
          <t>A.12.6.1</t>
        </is>
      </c>
      <c r="G42" t="inlineStr">
        <is>
          <t>Yes</t>
        </is>
      </c>
      <c r="H42" t="inlineStr">
        <is>
          <t>Mitigate</t>
        </is>
      </c>
    </row>
    <row r="43">
      <c r="A43" t="inlineStr">
        <is>
          <t>2026-04-09</t>
        </is>
      </c>
      <c r="B43" t="inlineStr">
        <is>
          <t>2026-0409-012</t>
        </is>
      </c>
      <c r="C43" t="inlineStr">
        <is>
          <t>TrueConf Zero-Day CVE-2026-3502 — Tampered Update RCE (SE Asian Govts)</t>
        </is>
      </c>
      <c r="D43" t="inlineStr">
        <is>
          <t>A.12</t>
        </is>
      </c>
      <c r="E43" t="inlineStr">
        <is>
          <t>A.12.6.1</t>
        </is>
      </c>
      <c r="G43" t="inlineStr">
        <is>
          <t>Yes</t>
        </is>
      </c>
      <c r="H43" t="inlineStr">
        <is>
          <t>Mitigate</t>
        </is>
      </c>
    </row>
    <row r="44">
      <c r="A44" t="inlineStr">
        <is>
          <t>2026-04-09</t>
        </is>
      </c>
      <c r="B44" t="inlineStr">
        <is>
          <t>2026-0409-013</t>
        </is>
      </c>
      <c r="C44" t="inlineStr">
        <is>
          <t>CareCloud Healthcare Breach — EHR Compromised, 8-Hour Outage</t>
        </is>
      </c>
      <c r="D44" t="inlineStr">
        <is>
          <t>A.16</t>
        </is>
      </c>
      <c r="E44" t="inlineStr">
        <is>
          <t>A.16.1</t>
        </is>
      </c>
      <c r="G44" t="inlineStr">
        <is>
          <t>Yes</t>
        </is>
      </c>
      <c r="H44" t="inlineStr">
        <is>
          <t>Mitigate</t>
        </is>
      </c>
    </row>
    <row r="45">
      <c r="A45" t="inlineStr">
        <is>
          <t>2026-04-09</t>
        </is>
      </c>
      <c r="B45" t="inlineStr">
        <is>
          <t>2026-0409-014</t>
        </is>
      </c>
      <c r="C45" t="inlineStr">
        <is>
          <t>DragonForce Ransomware — AT Packaging Breach (April 7, 2026)</t>
        </is>
      </c>
      <c r="D45" t="inlineStr">
        <is>
          <t>A.16</t>
        </is>
      </c>
      <c r="E45" t="inlineStr">
        <is>
          <t>A.16.1</t>
        </is>
      </c>
      <c r="G45" t="inlineStr">
        <is>
          <t>Yes</t>
        </is>
      </c>
      <c r="H45" t="inlineStr">
        <is>
          <t>Mitigate</t>
        </is>
      </c>
    </row>
    <row r="46">
      <c r="A46" t="inlineStr">
        <is>
          <t>2026-04-09</t>
        </is>
      </c>
      <c r="B46" t="inlineStr">
        <is>
          <t>2026-0409-015</t>
        </is>
      </c>
      <c r="C46" t="inlineStr">
        <is>
          <t>April 2026 Ransomware Surge — 168 Victims / 43 Countries (Week 1)</t>
        </is>
      </c>
      <c r="D46" t="inlineStr">
        <is>
          <t>A.16</t>
        </is>
      </c>
      <c r="E46" t="inlineStr">
        <is>
          <t>A.16.1</t>
        </is>
      </c>
      <c r="G46" t="inlineStr">
        <is>
          <t>Yes</t>
        </is>
      </c>
      <c r="H46" t="inlineStr">
        <is>
          <t>Mitigate</t>
        </is>
      </c>
    </row>
    <row r="47">
      <c r="A47" t="inlineStr">
        <is>
          <t>2026-04-09</t>
        </is>
      </c>
      <c r="B47" t="inlineStr">
        <is>
          <t>2026-0409-016</t>
        </is>
      </c>
      <c r="C47" t="inlineStr">
        <is>
          <t>NIST CAISI: AI Agent Red-Teaming Competition Insights</t>
        </is>
      </c>
      <c r="D47" t="inlineStr">
        <is>
          <t>A.18</t>
        </is>
      </c>
      <c r="E47" t="inlineStr">
        <is>
          <t>A.18.2</t>
        </is>
      </c>
      <c r="G47" t="inlineStr">
        <is>
          <t>Yes</t>
        </is>
      </c>
      <c r="H47" t="inlineStr">
        <is>
          <t>Accept</t>
        </is>
      </c>
    </row>
    <row r="48">
      <c r="A48" t="inlineStr">
        <is>
          <t>2026-04-09</t>
        </is>
      </c>
      <c r="B48" t="inlineStr">
        <is>
          <t>2026-0409-017</t>
        </is>
      </c>
      <c r="C48" t="inlineStr">
        <is>
          <t>OWASP MCP Top 10 Published — Security Standard for MCP</t>
        </is>
      </c>
      <c r="D48" t="inlineStr">
        <is>
          <t>A.5</t>
        </is>
      </c>
      <c r="E48" t="inlineStr">
        <is>
          <t>A.5.1</t>
        </is>
      </c>
      <c r="G48" t="inlineStr">
        <is>
          <t>Yes</t>
        </is>
      </c>
      <c r="H48" t="inlineStr">
        <is>
          <t>Accept</t>
        </is>
      </c>
    </row>
    <row r="49">
      <c r="A49" t="inlineStr">
        <is>
          <t>2026-04-09</t>
        </is>
      </c>
      <c r="B49" t="inlineStr">
        <is>
          <t>2026-0409-018</t>
        </is>
      </c>
      <c r="C49" t="inlineStr">
        <is>
          <t>Votal AI RLHF Adversarial Attacker Model Launch (RSA 2026)</t>
        </is>
      </c>
      <c r="D49" t="inlineStr">
        <is>
          <t>A.18</t>
        </is>
      </c>
      <c r="E49" t="inlineStr">
        <is>
          <t>A.18.2</t>
        </is>
      </c>
      <c r="G49" t="inlineStr">
        <is>
          <t>Yes</t>
        </is>
      </c>
      <c r="H49" t="inlineStr">
        <is>
          <t>Accept</t>
        </is>
      </c>
    </row>
    <row r="50">
      <c r="A50" t="inlineStr">
        <is>
          <t>2026-04-10</t>
        </is>
      </c>
      <c r="B50" t="inlineStr">
        <is>
          <t>2026-0410-001</t>
        </is>
      </c>
      <c r="C50" t="inlineStr">
        <is>
          <t>Claude Mythos Preview — AI-Powered Zero-Day Discovery at Scale</t>
        </is>
      </c>
      <c r="D50" t="inlineStr">
        <is>
          <t>A.5</t>
        </is>
      </c>
      <c r="E50" t="inlineStr">
        <is>
          <t>A.18.2</t>
        </is>
      </c>
      <c r="G50" t="inlineStr">
        <is>
          <t>Yes</t>
        </is>
      </c>
      <c r="H50" t="inlineStr">
        <is>
          <t>Mitigate</t>
        </is>
      </c>
    </row>
    <row r="51">
      <c r="A51" t="inlineStr">
        <is>
          <t>2026-04-10</t>
        </is>
      </c>
      <c r="B51" t="inlineStr">
        <is>
          <t>2026-0410-002</t>
        </is>
      </c>
      <c r="C51" t="inlineStr">
        <is>
          <t>Prompt Injection Surge — 340% Increase in 2026, 88% Success Rate</t>
        </is>
      </c>
      <c r="D51" t="inlineStr">
        <is>
          <t>A.5</t>
        </is>
      </c>
      <c r="E51" t="inlineStr">
        <is>
          <t>A.14.2.5</t>
        </is>
      </c>
      <c r="G51" t="inlineStr">
        <is>
          <t>Yes</t>
        </is>
      </c>
      <c r="H51" t="inlineStr">
        <is>
          <t>Mitigate</t>
        </is>
      </c>
    </row>
    <row r="52">
      <c r="A52" t="inlineStr">
        <is>
          <t>2026-04-10</t>
        </is>
      </c>
      <c r="B52" t="inlineStr">
        <is>
          <t>2026-0410-003</t>
        </is>
      </c>
      <c r="C52" t="inlineStr">
        <is>
          <t>MCP Defense-Placement Taxonomy (arXiv:2604.07551)</t>
        </is>
      </c>
      <c r="D52" t="inlineStr">
        <is>
          <t>A.5</t>
        </is>
      </c>
      <c r="E52" t="inlineStr">
        <is>
          <t>A.14.2.5</t>
        </is>
      </c>
      <c r="G52" t="inlineStr">
        <is>
          <t>Yes</t>
        </is>
      </c>
      <c r="H52" t="inlineStr">
        <is>
          <t>Mitigate</t>
        </is>
      </c>
    </row>
    <row r="53">
      <c r="A53" t="inlineStr">
        <is>
          <t>2026-04-10</t>
        </is>
      </c>
      <c r="B53" t="inlineStr">
        <is>
          <t>2026-0410-004</t>
        </is>
      </c>
      <c r="C53" t="inlineStr">
        <is>
          <t>Agentic AI #1 Attack Vector — 70% Enterprise Incident Rate</t>
        </is>
      </c>
      <c r="D53" t="inlineStr">
        <is>
          <t>A.5</t>
        </is>
      </c>
      <c r="E53" t="inlineStr">
        <is>
          <t>A.5.1</t>
        </is>
      </c>
      <c r="G53" t="inlineStr">
        <is>
          <t>Yes</t>
        </is>
      </c>
      <c r="H53" t="inlineStr">
        <is>
          <t>Mitigate</t>
        </is>
      </c>
    </row>
    <row r="54">
      <c r="A54" t="inlineStr">
        <is>
          <t>2026-04-10</t>
        </is>
      </c>
      <c r="B54" t="inlineStr">
        <is>
          <t>2026-0410-005</t>
        </is>
      </c>
      <c r="C54" t="inlineStr">
        <is>
          <t>MCP Server Supply Chain — 67,057 Servers Audited, Widespread Hijackability</t>
        </is>
      </c>
      <c r="D54" t="inlineStr">
        <is>
          <t>A.5</t>
        </is>
      </c>
      <c r="E54" t="inlineStr">
        <is>
          <t>A.14.2.7</t>
        </is>
      </c>
      <c r="G54" t="inlineStr">
        <is>
          <t>Yes</t>
        </is>
      </c>
      <c r="H54" t="inlineStr">
        <is>
          <t>Mitigate</t>
        </is>
      </c>
    </row>
    <row r="55">
      <c r="A55" t="inlineStr">
        <is>
          <t>2026-04-10</t>
        </is>
      </c>
      <c r="B55" t="inlineStr">
        <is>
          <t>2026-0410-006</t>
        </is>
      </c>
      <c r="C55" t="inlineStr">
        <is>
          <t>LLM Security Risk Landscape 2026 — Shadow AI, RAG, and Memory Attacks</t>
        </is>
      </c>
      <c r="D55" t="inlineStr">
        <is>
          <t>A.5</t>
        </is>
      </c>
      <c r="E55" t="inlineStr">
        <is>
          <t>A.14.1.2</t>
        </is>
      </c>
      <c r="G55" t="inlineStr">
        <is>
          <t>Yes</t>
        </is>
      </c>
      <c r="H55" t="inlineStr">
        <is>
          <t>Mitigate</t>
        </is>
      </c>
    </row>
    <row r="56">
      <c r="A56" t="inlineStr">
        <is>
          <t>2026-04-10</t>
        </is>
      </c>
      <c r="B56" t="inlineStr">
        <is>
          <t>2026-0410-007</t>
        </is>
      </c>
      <c r="C56" t="inlineStr">
        <is>
          <t>Trivy Supply Chain Attack — European Commission 300GB Breach via TeamPCP</t>
        </is>
      </c>
      <c r="D56" t="inlineStr">
        <is>
          <t>A.5</t>
        </is>
      </c>
      <c r="E56" t="inlineStr">
        <is>
          <t>A.14.2.7</t>
        </is>
      </c>
      <c r="G56" t="inlineStr">
        <is>
          <t>Yes</t>
        </is>
      </c>
      <c r="H56" t="inlineStr">
        <is>
          <t>Mitigate</t>
        </is>
      </c>
    </row>
    <row r="57">
      <c r="A57" t="inlineStr">
        <is>
          <t>2026-04-10</t>
        </is>
      </c>
      <c r="B57" t="inlineStr">
        <is>
          <t>2026-0410-008</t>
        </is>
      </c>
      <c r="C57" t="inlineStr">
        <is>
          <t>Axios NPM + LiteLLM + Trivy — Cascading Supply Chain Wave Continues</t>
        </is>
      </c>
      <c r="D57" t="inlineStr">
        <is>
          <t>A.5</t>
        </is>
      </c>
      <c r="E57" t="inlineStr">
        <is>
          <t>A.14.2.7</t>
        </is>
      </c>
      <c r="G57" t="inlineStr">
        <is>
          <t>Yes</t>
        </is>
      </c>
      <c r="H57" t="inlineStr">
        <is>
          <t>Mitigate</t>
        </is>
      </c>
    </row>
    <row r="58">
      <c r="A58" t="inlineStr">
        <is>
          <t>2026-04-10</t>
        </is>
      </c>
      <c r="B58" t="inlineStr">
        <is>
          <t>2026-0410-009</t>
        </is>
      </c>
      <c r="C58" t="inlineStr">
        <is>
          <t>Mercor AI $10B Breach — 4TB Exfiltrated, Class Action Filed</t>
        </is>
      </c>
      <c r="D58" t="inlineStr">
        <is>
          <t>A.5</t>
        </is>
      </c>
      <c r="E58" t="inlineStr">
        <is>
          <t>A.16.1</t>
        </is>
      </c>
      <c r="G58" t="inlineStr">
        <is>
          <t>Yes</t>
        </is>
      </c>
      <c r="H58" t="inlineStr">
        <is>
          <t>Mitigate</t>
        </is>
      </c>
    </row>
    <row r="59">
      <c r="A59" t="inlineStr">
        <is>
          <t>2026-04-10</t>
        </is>
      </c>
      <c r="B59" t="inlineStr">
        <is>
          <t>2026-0410-010</t>
        </is>
      </c>
      <c r="C59" t="inlineStr">
        <is>
          <t>Fortinet FortiClient EMS CVE-2026-35616 — Pre-Auth RCE (CVSS 9.8)</t>
        </is>
      </c>
      <c r="D59" t="inlineStr">
        <is>
          <t>A.5</t>
        </is>
      </c>
      <c r="E59" t="inlineStr">
        <is>
          <t>A.12.6</t>
        </is>
      </c>
      <c r="G59" t="inlineStr">
        <is>
          <t>Yes</t>
        </is>
      </c>
      <c r="H59" t="inlineStr">
        <is>
          <t>Mitigate</t>
        </is>
      </c>
    </row>
    <row r="60">
      <c r="A60" t="inlineStr">
        <is>
          <t>2026-04-10</t>
        </is>
      </c>
      <c r="B60" t="inlineStr">
        <is>
          <t>2026-0410-011</t>
        </is>
      </c>
      <c r="C60" t="inlineStr">
        <is>
          <t>Chrome Zero-Day CVE-2026-5281 + CVE-2026-2441 — 4th &amp; 5th Exploited in 2026</t>
        </is>
      </c>
      <c r="D60" t="inlineStr">
        <is>
          <t>A.5</t>
        </is>
      </c>
      <c r="E60" t="inlineStr">
        <is>
          <t>A.12.6.1</t>
        </is>
      </c>
      <c r="G60" t="inlineStr">
        <is>
          <t>Yes</t>
        </is>
      </c>
      <c r="H60" t="inlineStr">
        <is>
          <t>Mitigate</t>
        </is>
      </c>
    </row>
    <row r="61">
      <c r="A61" t="inlineStr">
        <is>
          <t>2026-04-10</t>
        </is>
      </c>
      <c r="B61" t="inlineStr">
        <is>
          <t>2026-0410-012</t>
        </is>
      </c>
      <c r="C61" t="inlineStr">
        <is>
          <t>TrueConf CVE-2026-3502 — SE Asian Government Network Espionage</t>
        </is>
      </c>
      <c r="D61" t="inlineStr">
        <is>
          <t>A.5</t>
        </is>
      </c>
      <c r="E61" t="inlineStr">
        <is>
          <t>A.12.6.1</t>
        </is>
      </c>
      <c r="G61" t="inlineStr">
        <is>
          <t>Yes</t>
        </is>
      </c>
      <c r="H61" t="inlineStr">
        <is>
          <t>Mitigate</t>
        </is>
      </c>
    </row>
    <row r="62">
      <c r="A62" t="inlineStr">
        <is>
          <t>2026-04-10</t>
        </is>
      </c>
      <c r="B62" t="inlineStr">
        <is>
          <t>2026-0410-013</t>
        </is>
      </c>
      <c r="C62" t="inlineStr">
        <is>
          <t>Healthcare Breach Cluster — CareCloud, ChipSoft, Interlock (3 in 10 Days)</t>
        </is>
      </c>
      <c r="D62" t="inlineStr">
        <is>
          <t>A.5</t>
        </is>
      </c>
      <c r="E62" t="inlineStr">
        <is>
          <t>A.16.1</t>
        </is>
      </c>
      <c r="G62" t="inlineStr">
        <is>
          <t>Yes</t>
        </is>
      </c>
      <c r="H62" t="inlineStr">
        <is>
          <t>Mitigate</t>
        </is>
      </c>
    </row>
    <row r="63">
      <c r="A63" t="inlineStr">
        <is>
          <t>2026-04-10</t>
        </is>
      </c>
      <c r="B63" t="inlineStr">
        <is>
          <t>2026-0410-014</t>
        </is>
      </c>
      <c r="C63" t="inlineStr">
        <is>
          <t>April 2026 Ransomware Acceleration — 168 Victims, 43 Countries, Week 1</t>
        </is>
      </c>
      <c r="D63" t="inlineStr">
        <is>
          <t>A.5</t>
        </is>
      </c>
      <c r="E63" t="inlineStr">
        <is>
          <t>A.16.1</t>
        </is>
      </c>
      <c r="G63" t="inlineStr">
        <is>
          <t>Yes</t>
        </is>
      </c>
      <c r="H63" t="inlineStr">
        <is>
          <t>Mitigate</t>
        </is>
      </c>
    </row>
    <row r="64">
      <c r="A64" t="inlineStr">
        <is>
          <t>2026-04-10</t>
        </is>
      </c>
      <c r="B64" t="inlineStr">
        <is>
          <t>2026-0410-015</t>
        </is>
      </c>
      <c r="C64" t="inlineStr">
        <is>
          <t>Adobe 13M Support Ticket &amp; Bug Bounty Data Breach</t>
        </is>
      </c>
      <c r="D64" t="inlineStr">
        <is>
          <t>A.5</t>
        </is>
      </c>
      <c r="E64" t="inlineStr">
        <is>
          <t>A.16.1</t>
        </is>
      </c>
      <c r="G64" t="inlineStr">
        <is>
          <t>Yes</t>
        </is>
      </c>
      <c r="H64" t="inlineStr">
        <is>
          <t>Mitigate</t>
        </is>
      </c>
    </row>
    <row r="65">
      <c r="A65" t="inlineStr">
        <is>
          <t>2026-04-10</t>
        </is>
      </c>
      <c r="B65" t="inlineStr">
        <is>
          <t>2026-0410-016</t>
        </is>
      </c>
      <c r="C65" t="inlineStr">
        <is>
          <t>NIST AI Red Teaming Protocol Standardization for Health AI</t>
        </is>
      </c>
      <c r="D65" t="inlineStr">
        <is>
          <t>A.5</t>
        </is>
      </c>
      <c r="E65" t="inlineStr">
        <is>
          <t>A.18.2</t>
        </is>
      </c>
      <c r="G65" t="inlineStr">
        <is>
          <t>Yes</t>
        </is>
      </c>
      <c r="H65" t="inlineStr">
        <is>
          <t>Mitigate</t>
        </is>
      </c>
    </row>
    <row r="66">
      <c r="A66" t="inlineStr">
        <is>
          <t>2026-04-10</t>
        </is>
      </c>
      <c r="B66" t="inlineStr">
        <is>
          <t>2026-0410-017</t>
        </is>
      </c>
      <c r="C66" t="inlineStr">
        <is>
          <t>OWASP GenAI Red Teaming Guide v2.0 &amp; LLM Security Guide Updates</t>
        </is>
      </c>
      <c r="D66" t="inlineStr">
        <is>
          <t>A.5</t>
        </is>
      </c>
      <c r="E66" t="inlineStr">
        <is>
          <t>A.18.2</t>
        </is>
      </c>
      <c r="G66" t="inlineStr">
        <is>
          <t>Yes</t>
        </is>
      </c>
      <c r="H66" t="inlineStr">
        <is>
          <t>Mitigate</t>
        </is>
      </c>
    </row>
    <row r="67">
      <c r="A67" t="inlineStr">
        <is>
          <t>2026-04-13</t>
        </is>
      </c>
      <c r="B67" t="inlineStr">
        <is>
          <t>2026-0413-001</t>
        </is>
      </c>
      <c r="C67" t="inlineStr">
        <is>
          <t>CVE-2026-23744 — MCPJam Inspector RCE (CVSS 9.8)</t>
        </is>
      </c>
      <c r="D67" t="inlineStr">
        <is>
          <t>A.8</t>
        </is>
      </c>
      <c r="E67" t="inlineStr">
        <is>
          <t>A.12.6</t>
        </is>
      </c>
      <c r="G67" t="inlineStr">
        <is>
          <t>Yes</t>
        </is>
      </c>
      <c r="H67" t="inlineStr">
        <is>
          <t>Mitigate</t>
        </is>
      </c>
    </row>
    <row r="68">
      <c r="A68" t="inlineStr">
        <is>
          <t>2026-04-13</t>
        </is>
      </c>
      <c r="B68" t="inlineStr">
        <is>
          <t>2026-0413-002</t>
        </is>
      </c>
      <c r="C68" t="inlineStr">
        <is>
          <t>GitHub MCP Integration Agent Hijack via Malicious Issues</t>
        </is>
      </c>
      <c r="D68" t="inlineStr">
        <is>
          <t>A.8</t>
        </is>
      </c>
      <c r="E68" t="inlineStr">
        <is>
          <t>A.14.2.5</t>
        </is>
      </c>
      <c r="G68" t="inlineStr">
        <is>
          <t>Yes</t>
        </is>
      </c>
      <c r="H68" t="inlineStr">
        <is>
          <t>Mitigate</t>
        </is>
      </c>
    </row>
    <row r="69">
      <c r="A69" t="inlineStr">
        <is>
          <t>2026-04-13</t>
        </is>
      </c>
      <c r="B69" t="inlineStr">
        <is>
          <t>2026-0413-003</t>
        </is>
      </c>
      <c r="C69" t="inlineStr">
        <is>
          <t>OWASP Top 10 for Agentic Applications 2026 — New Autonomous Risks</t>
        </is>
      </c>
      <c r="D69" t="inlineStr">
        <is>
          <t>A.5</t>
        </is>
      </c>
      <c r="E69" t="inlineStr">
        <is>
          <t>A.5.1</t>
        </is>
      </c>
      <c r="G69" t="inlineStr">
        <is>
          <t>Yes</t>
        </is>
      </c>
      <c r="H69" t="inlineStr">
        <is>
          <t>Mitigate</t>
        </is>
      </c>
    </row>
    <row r="70">
      <c r="A70" t="inlineStr">
        <is>
          <t>2026-04-13</t>
        </is>
      </c>
      <c r="B70" t="inlineStr">
        <is>
          <t>2026-0413-004</t>
        </is>
      </c>
      <c r="C70" t="inlineStr">
        <is>
          <t>LLMjacking Campaign Escalation — Exposed Endpoint Hijacking at Scale</t>
        </is>
      </c>
      <c r="D70" t="inlineStr">
        <is>
          <t>A.5</t>
        </is>
      </c>
      <c r="E70" t="inlineStr">
        <is>
          <t>A.9.4</t>
        </is>
      </c>
      <c r="G70" t="inlineStr">
        <is>
          <t>Yes</t>
        </is>
      </c>
      <c r="H70" t="inlineStr">
        <is>
          <t>Mitigate</t>
        </is>
      </c>
    </row>
    <row r="71">
      <c r="A71" t="inlineStr">
        <is>
          <t>2026-04-13</t>
        </is>
      </c>
      <c r="B71" t="inlineStr">
        <is>
          <t>2026-0413-005</t>
        </is>
      </c>
      <c r="C71" t="inlineStr">
        <is>
          <t>AI Agent 'Lethal Trifecta' — Privileged Access + Untrusted Input + Public Output</t>
        </is>
      </c>
      <c r="D71" t="inlineStr">
        <is>
          <t>A.8</t>
        </is>
      </c>
      <c r="E71" t="inlineStr">
        <is>
          <t>A.14.2.5</t>
        </is>
      </c>
      <c r="G71" t="inlineStr">
        <is>
          <t>Yes</t>
        </is>
      </c>
      <c r="H71" t="inlineStr">
        <is>
          <t>Mitigate</t>
        </is>
      </c>
    </row>
    <row r="72">
      <c r="A72" t="inlineStr">
        <is>
          <t>2026-04-13</t>
        </is>
      </c>
      <c r="B72" t="inlineStr">
        <is>
          <t>2026-0413-006</t>
        </is>
      </c>
      <c r="C72" t="inlineStr">
        <is>
          <t>Shadow AI Now #1 Enterprise Data Leakage Vector in 2026</t>
        </is>
      </c>
      <c r="D72" t="inlineStr">
        <is>
          <t>A.5</t>
        </is>
      </c>
      <c r="E72" t="inlineStr">
        <is>
          <t>A.8.1</t>
        </is>
      </c>
      <c r="G72" t="inlineStr">
        <is>
          <t>Yes</t>
        </is>
      </c>
      <c r="H72" t="inlineStr">
        <is>
          <t>Mitigate</t>
        </is>
      </c>
    </row>
    <row r="73">
      <c r="A73" t="inlineStr">
        <is>
          <t>2026-04-13</t>
        </is>
      </c>
      <c r="B73" t="inlineStr">
        <is>
          <t>2026-0413-007</t>
        </is>
      </c>
      <c r="C73" t="inlineStr">
        <is>
          <t>TeamPCP / Lapsus$ Supply Chain Wave — Hundreds of Thousands of Stolen Secrets</t>
        </is>
      </c>
      <c r="D73" t="inlineStr">
        <is>
          <t>A.8</t>
        </is>
      </c>
      <c r="E73" t="inlineStr">
        <is>
          <t>A.14.2.7</t>
        </is>
      </c>
      <c r="G73" t="inlineStr">
        <is>
          <t>Yes</t>
        </is>
      </c>
      <c r="H73" t="inlineStr">
        <is>
          <t>Mitigate</t>
        </is>
      </c>
    </row>
    <row r="74">
      <c r="A74" t="inlineStr">
        <is>
          <t>2026-04-13</t>
        </is>
      </c>
      <c r="B74" t="inlineStr">
        <is>
          <t>2026-0413-008</t>
        </is>
      </c>
      <c r="C74" t="inlineStr">
        <is>
          <t>Open Source Malware Up 73% — AI Development Pipelines Targeted</t>
        </is>
      </c>
      <c r="D74" t="inlineStr">
        <is>
          <t>A.8</t>
        </is>
      </c>
      <c r="E74" t="inlineStr">
        <is>
          <t>A.14.2.7</t>
        </is>
      </c>
      <c r="G74" t="inlineStr">
        <is>
          <t>Yes</t>
        </is>
      </c>
      <c r="H74" t="inlineStr">
        <is>
          <t>Mitigate</t>
        </is>
      </c>
    </row>
    <row r="75">
      <c r="A75" t="inlineStr">
        <is>
          <t>2026-04-13</t>
        </is>
      </c>
      <c r="B75" t="inlineStr">
        <is>
          <t>2026-0413-009</t>
        </is>
      </c>
      <c r="C75" t="inlineStr">
        <is>
          <t>European Commission Trivy Breach — CERT-EU Confirms Initial Access Vector</t>
        </is>
      </c>
      <c r="D75" t="inlineStr">
        <is>
          <t>A.8</t>
        </is>
      </c>
      <c r="E75" t="inlineStr">
        <is>
          <t>A.14.2.7</t>
        </is>
      </c>
      <c r="G75" t="inlineStr">
        <is>
          <t>Yes</t>
        </is>
      </c>
      <c r="H75" t="inlineStr">
        <is>
          <t>Mitigate</t>
        </is>
      </c>
    </row>
    <row r="76">
      <c r="A76" t="inlineStr">
        <is>
          <t>2026-04-13</t>
        </is>
      </c>
      <c r="B76" t="inlineStr">
        <is>
          <t>2026-0413-010</t>
        </is>
      </c>
      <c r="C76" t="inlineStr">
        <is>
          <t>Drift Protocol $285M Heist — DPRK Social Engineering Campaign</t>
        </is>
      </c>
      <c r="D76" t="inlineStr">
        <is>
          <t>A.5</t>
        </is>
      </c>
      <c r="E76" t="inlineStr">
        <is>
          <t>A.16.1</t>
        </is>
      </c>
      <c r="G76" t="inlineStr">
        <is>
          <t>Yes</t>
        </is>
      </c>
      <c r="H76" t="inlineStr">
        <is>
          <t>Mitigate</t>
        </is>
      </c>
    </row>
    <row r="77">
      <c r="A77" t="inlineStr">
        <is>
          <t>2026-04-13</t>
        </is>
      </c>
      <c r="B77" t="inlineStr">
        <is>
          <t>2026-0413-011</t>
        </is>
      </c>
      <c r="C77" t="inlineStr">
        <is>
          <t>CPUID Website Compromise — CPU-Z &amp; HWMonitor Download Hijack</t>
        </is>
      </c>
      <c r="D77" t="inlineStr">
        <is>
          <t>A.8</t>
        </is>
      </c>
      <c r="E77" t="inlineStr">
        <is>
          <t>A.14.2.7</t>
        </is>
      </c>
      <c r="G77" t="inlineStr">
        <is>
          <t>Yes</t>
        </is>
      </c>
      <c r="H77" t="inlineStr">
        <is>
          <t>Mitigate</t>
        </is>
      </c>
    </row>
    <row r="78">
      <c r="A78" t="inlineStr">
        <is>
          <t>2026-04-13</t>
        </is>
      </c>
      <c r="B78" t="inlineStr">
        <is>
          <t>2026-0413-012</t>
        </is>
      </c>
      <c r="C78" t="inlineStr">
        <is>
          <t>Gritman Medical Ransomware — Multi-Clinic Outage Across Idaho</t>
        </is>
      </c>
      <c r="D78" t="inlineStr">
        <is>
          <t>A.5</t>
        </is>
      </c>
      <c r="E78" t="inlineStr">
        <is>
          <t>A.16.1</t>
        </is>
      </c>
      <c r="G78" t="inlineStr">
        <is>
          <t>Yes</t>
        </is>
      </c>
      <c r="H78" t="inlineStr">
        <is>
          <t>Mitigate</t>
        </is>
      </c>
    </row>
    <row r="79">
      <c r="A79" t="inlineStr">
        <is>
          <t>2026-04-13</t>
        </is>
      </c>
      <c r="B79" t="inlineStr">
        <is>
          <t>2026-0413-013</t>
        </is>
      </c>
      <c r="C79" t="inlineStr">
        <is>
          <t>Hasbro IT Systems Breached — Data Stolen, Operations Disrupted</t>
        </is>
      </c>
      <c r="D79" t="inlineStr">
        <is>
          <t>A.5</t>
        </is>
      </c>
      <c r="E79" t="inlineStr">
        <is>
          <t>A.16.1</t>
        </is>
      </c>
      <c r="G79" t="inlineStr">
        <is>
          <t>Yes</t>
        </is>
      </c>
      <c r="H79" t="inlineStr">
        <is>
          <t>Mitigate</t>
        </is>
      </c>
    </row>
    <row r="80">
      <c r="A80" t="inlineStr">
        <is>
          <t>2026-04-13</t>
        </is>
      </c>
      <c r="B80" t="inlineStr">
        <is>
          <t>2026-0413-014</t>
        </is>
      </c>
      <c r="C80" t="inlineStr">
        <is>
          <t>Handala Ransomware Group Surge — 23+ Victims, Multi-Sector Acceleration</t>
        </is>
      </c>
      <c r="D80" t="inlineStr">
        <is>
          <t>A.5</t>
        </is>
      </c>
      <c r="E80" t="inlineStr">
        <is>
          <t>A.16.1</t>
        </is>
      </c>
      <c r="G80" t="inlineStr">
        <is>
          <t>Yes</t>
        </is>
      </c>
      <c r="H80" t="inlineStr">
        <is>
          <t>Mitigate</t>
        </is>
      </c>
    </row>
    <row r="81">
      <c r="A81" t="inlineStr">
        <is>
          <t>2026-04-13</t>
        </is>
      </c>
      <c r="B81" t="inlineStr">
        <is>
          <t>2026-0413-015</t>
        </is>
      </c>
      <c r="C81" t="inlineStr">
        <is>
          <t>Hong Kong Hospital Authority Patient Data Leak on Third-Party Platform</t>
        </is>
      </c>
      <c r="D81" t="inlineStr">
        <is>
          <t>A.5</t>
        </is>
      </c>
      <c r="E81" t="inlineStr">
        <is>
          <t>A.16.1</t>
        </is>
      </c>
      <c r="G81" t="inlineStr">
        <is>
          <t>Yes</t>
        </is>
      </c>
      <c r="H81" t="inlineStr">
        <is>
          <t>Mitigate</t>
        </is>
      </c>
    </row>
    <row r="82">
      <c r="A82" t="inlineStr">
        <is>
          <t>2026-04-13</t>
        </is>
      </c>
      <c r="B82" t="inlineStr">
        <is>
          <t>2026-0413-016</t>
        </is>
      </c>
      <c r="C82" t="inlineStr">
        <is>
          <t>AI Security Solutions Landscape Q2 2026 — OWASP GenAI Project</t>
        </is>
      </c>
      <c r="D82" t="inlineStr">
        <is>
          <t>A.5</t>
        </is>
      </c>
      <c r="E82" t="inlineStr">
        <is>
          <t>A.18.2</t>
        </is>
      </c>
      <c r="G82" t="inlineStr">
        <is>
          <t>Yes</t>
        </is>
      </c>
      <c r="H82" t="inlineStr">
        <is>
          <t>Mitigate</t>
        </is>
      </c>
    </row>
    <row r="83">
      <c r="A83" t="inlineStr">
        <is>
          <t>2026-04-13</t>
        </is>
      </c>
      <c r="B83" t="inlineStr">
        <is>
          <t>2026-0413-017</t>
        </is>
      </c>
      <c r="C83" t="inlineStr">
        <is>
          <t>Prompt Injection in Agentic Coding Assistants — Systematic Vulnerability Analysis (arXiv)</t>
        </is>
      </c>
      <c r="D83" t="inlineStr">
        <is>
          <t>A.5</t>
        </is>
      </c>
      <c r="E83" t="inlineStr">
        <is>
          <t>A.18.2</t>
        </is>
      </c>
      <c r="G83" t="inlineStr">
        <is>
          <t>Yes</t>
        </is>
      </c>
      <c r="H83" t="inlineStr">
        <is>
          <t>Mitigate</t>
        </is>
      </c>
    </row>
    <row r="84">
      <c r="A84" t="inlineStr">
        <is>
          <t>2026-04-14</t>
        </is>
      </c>
      <c r="B84" t="inlineStr">
        <is>
          <t>2026-0414-001</t>
        </is>
      </c>
      <c r="C84" t="inlineStr">
        <is>
          <t>DNS Tunneling Channel Discovered in ChatGPT Code Sandbox — Covert Data Exfiltration</t>
        </is>
      </c>
      <c r="D84" t="inlineStr">
        <is>
          <t>A.5</t>
        </is>
      </c>
      <c r="E84" t="inlineStr">
        <is>
          <t>A.13.1</t>
        </is>
      </c>
      <c r="G84" t="inlineStr">
        <is>
          <t>Applicable</t>
        </is>
      </c>
      <c r="H84" t="inlineStr">
        <is>
          <t>Mitigate</t>
        </is>
      </c>
    </row>
    <row r="85">
      <c r="A85" t="inlineStr">
        <is>
          <t>2026-04-14</t>
        </is>
      </c>
      <c r="B85" t="inlineStr">
        <is>
          <t>2026-0414-002</t>
        </is>
      </c>
      <c r="C85" t="inlineStr">
        <is>
          <t>Memory Poisoning in LLM Agents — 90%+ Attack Success Against GPT-5 mini &amp; Claude Sonnet 4.5</t>
        </is>
      </c>
      <c r="D85" t="inlineStr">
        <is>
          <t>A.5</t>
        </is>
      </c>
      <c r="E85" t="inlineStr">
        <is>
          <t>A.14.1.2</t>
        </is>
      </c>
      <c r="G85" t="inlineStr">
        <is>
          <t>Applicable</t>
        </is>
      </c>
      <c r="H85" t="inlineStr">
        <is>
          <t>Mitigate</t>
        </is>
      </c>
    </row>
    <row r="86">
      <c r="A86" t="inlineStr">
        <is>
          <t>2026-04-14</t>
        </is>
      </c>
      <c r="B86" t="inlineStr">
        <is>
          <t>2026-0414-003</t>
        </is>
      </c>
      <c r="C86" t="inlineStr">
        <is>
          <t>Anthropic Mythos Preview Restricted After Autonomous Zero-Day Discovery Across Major Systems</t>
        </is>
      </c>
      <c r="D86" t="inlineStr">
        <is>
          <t>A.5</t>
        </is>
      </c>
      <c r="E86" t="inlineStr">
        <is>
          <t>A.5.1</t>
        </is>
      </c>
      <c r="G86" t="inlineStr">
        <is>
          <t>Applicable</t>
        </is>
      </c>
      <c r="H86" t="inlineStr">
        <is>
          <t>Mitigate</t>
        </is>
      </c>
    </row>
    <row r="87">
      <c r="A87" t="inlineStr">
        <is>
          <t>2026-04-14</t>
        </is>
      </c>
      <c r="B87" t="inlineStr">
        <is>
          <t>2026-0414-004</t>
        </is>
      </c>
      <c r="C87" t="inlineStr">
        <is>
          <t>MCP Cross-Client Data Leak CVE-2026-25536 — StreamableHTTP Transport Boundary Failure</t>
        </is>
      </c>
      <c r="D87" t="inlineStr">
        <is>
          <t>A.5</t>
        </is>
      </c>
      <c r="E87" t="inlineStr">
        <is>
          <t>A.14.2.5</t>
        </is>
      </c>
      <c r="G87" t="inlineStr">
        <is>
          <t>Applicable</t>
        </is>
      </c>
      <c r="H87" t="inlineStr">
        <is>
          <t>Mitigate</t>
        </is>
      </c>
    </row>
    <row r="88">
      <c r="A88" t="inlineStr">
        <is>
          <t>2026-04-14</t>
        </is>
      </c>
      <c r="B88" t="inlineStr">
        <is>
          <t>2026-0414-005</t>
        </is>
      </c>
      <c r="C88" t="inlineStr">
        <is>
          <t>Cascading Prompt Injection in Multi-Agent Pipelines — Cross-Layer Propagation Attacks</t>
        </is>
      </c>
      <c r="D88" t="inlineStr">
        <is>
          <t>A.5</t>
        </is>
      </c>
      <c r="E88" t="inlineStr">
        <is>
          <t>A.14.2.5</t>
        </is>
      </c>
      <c r="G88" t="inlineStr">
        <is>
          <t>Applicable</t>
        </is>
      </c>
      <c r="H88" t="inlineStr">
        <is>
          <t>Mitigate</t>
        </is>
      </c>
    </row>
    <row r="89">
      <c r="A89" t="inlineStr">
        <is>
          <t>2026-04-14</t>
        </is>
      </c>
      <c r="B89" t="inlineStr">
        <is>
          <t>2026-0414-006</t>
        </is>
      </c>
      <c r="C89" t="inlineStr">
        <is>
          <t>OpenAI Concedes Prompt Injection 'Unlikely to Ever Be Fully Solved'</t>
        </is>
      </c>
      <c r="D89" t="inlineStr">
        <is>
          <t>A.5</t>
        </is>
      </c>
      <c r="E89" t="inlineStr">
        <is>
          <t>A.5.1</t>
        </is>
      </c>
      <c r="G89" t="inlineStr">
        <is>
          <t>Applicable</t>
        </is>
      </c>
      <c r="H89" t="inlineStr">
        <is>
          <t>Mitigate</t>
        </is>
      </c>
    </row>
    <row r="90">
      <c r="A90" t="inlineStr">
        <is>
          <t>2026-04-14</t>
        </is>
      </c>
      <c r="B90" t="inlineStr">
        <is>
          <t>2026-0414-007</t>
        </is>
      </c>
      <c r="C90" t="inlineStr">
        <is>
          <t>Axios NPM Backdoor Still Active in Production — Vectra Detection Guidance Published</t>
        </is>
      </c>
      <c r="D90" t="inlineStr">
        <is>
          <t>A.5</t>
        </is>
      </c>
      <c r="E90" t="inlineStr">
        <is>
          <t>A.14.2.7</t>
        </is>
      </c>
      <c r="G90" t="inlineStr">
        <is>
          <t>Applicable</t>
        </is>
      </c>
      <c r="H90" t="inlineStr">
        <is>
          <t>Mitigate</t>
        </is>
      </c>
    </row>
    <row r="91">
      <c r="A91" t="inlineStr">
        <is>
          <t>2026-04-14</t>
        </is>
      </c>
      <c r="B91" t="inlineStr">
        <is>
          <t>2026-0414-008</t>
        </is>
      </c>
      <c r="C91" t="inlineStr">
        <is>
          <t>Claude Source Code Leak Exposes Systemic Supply Chain Oversight Gaps</t>
        </is>
      </c>
      <c r="D91" t="inlineStr">
        <is>
          <t>A.5</t>
        </is>
      </c>
      <c r="E91" t="inlineStr">
        <is>
          <t>A.14.2.7</t>
        </is>
      </c>
      <c r="G91" t="inlineStr">
        <is>
          <t>Applicable</t>
        </is>
      </c>
      <c r="H91" t="inlineStr">
        <is>
          <t>Mitigate</t>
        </is>
      </c>
    </row>
    <row r="92">
      <c r="A92" t="inlineStr">
        <is>
          <t>2026-04-14</t>
        </is>
      </c>
      <c r="B92" t="inlineStr">
        <is>
          <t>2026-0414-009</t>
        </is>
      </c>
      <c r="C92" t="inlineStr">
        <is>
          <t>Talos Intelligence 2026 Supply Chain Defense Report — Security Tools as Attack Vectors</t>
        </is>
      </c>
      <c r="D92" t="inlineStr">
        <is>
          <t>A.5</t>
        </is>
      </c>
      <c r="E92" t="inlineStr">
        <is>
          <t>A.14.2.7</t>
        </is>
      </c>
      <c r="G92" t="inlineStr">
        <is>
          <t>Applicable</t>
        </is>
      </c>
      <c r="H92" t="inlineStr">
        <is>
          <t>Mitigate</t>
        </is>
      </c>
    </row>
    <row r="93">
      <c r="A93" t="inlineStr">
        <is>
          <t>2026-04-14</t>
        </is>
      </c>
      <c r="B93" t="inlineStr">
        <is>
          <t>2026-0414-010</t>
        </is>
      </c>
      <c r="C93" t="inlineStr">
        <is>
          <t>Rockstar Games ShinyHunters Ransom Deadline Today — Cloud Infrastructure Data at Stake</t>
        </is>
      </c>
      <c r="D93" t="inlineStr">
        <is>
          <t>A.5</t>
        </is>
      </c>
      <c r="E93" t="inlineStr">
        <is>
          <t>A.16.1</t>
        </is>
      </c>
      <c r="G93" t="inlineStr">
        <is>
          <t>Applicable</t>
        </is>
      </c>
      <c r="H93" t="inlineStr">
        <is>
          <t>Mitigate</t>
        </is>
      </c>
    </row>
    <row r="94">
      <c r="A94" t="inlineStr">
        <is>
          <t>2026-04-14</t>
        </is>
      </c>
      <c r="B94" t="inlineStr">
        <is>
          <t>2026-0414-011</t>
        </is>
      </c>
      <c r="C94" t="inlineStr">
        <is>
          <t>Adobe Acrobat Reader CVE-2026-34621 — Emergency Patch for Active Exploitation (CVSS 8.6)</t>
        </is>
      </c>
      <c r="D94" t="inlineStr">
        <is>
          <t>A.5</t>
        </is>
      </c>
      <c r="E94" t="inlineStr">
        <is>
          <t>A.12.6.1</t>
        </is>
      </c>
      <c r="G94" t="inlineStr">
        <is>
          <t>Applicable</t>
        </is>
      </c>
      <c r="H94" t="inlineStr">
        <is>
          <t>Mitigate</t>
        </is>
      </c>
    </row>
    <row r="95">
      <c r="A95" t="inlineStr">
        <is>
          <t>2026-04-14</t>
        </is>
      </c>
      <c r="B95" t="inlineStr">
        <is>
          <t>2026-0414-012</t>
        </is>
      </c>
      <c r="C95" t="inlineStr">
        <is>
          <t>Windows Zero-Day Exploit Leaked Ahead of April Patch Tuesday</t>
        </is>
      </c>
      <c r="D95" t="inlineStr">
        <is>
          <t>A.5</t>
        </is>
      </c>
      <c r="E95" t="inlineStr">
        <is>
          <t>A.12.6.1</t>
        </is>
      </c>
      <c r="G95" t="inlineStr">
        <is>
          <t>Applicable</t>
        </is>
      </c>
      <c r="H95" t="inlineStr">
        <is>
          <t>Mitigate</t>
        </is>
      </c>
    </row>
    <row r="96">
      <c r="A96" t="inlineStr">
        <is>
          <t>2026-04-14</t>
        </is>
      </c>
      <c r="B96" t="inlineStr">
        <is>
          <t>2026-0414-013</t>
        </is>
      </c>
      <c r="C96" t="inlineStr">
        <is>
          <t>SongTrivia 2.9M Account Breach — Auth Tokens Passwords and PII Published</t>
        </is>
      </c>
      <c r="D96" t="inlineStr">
        <is>
          <t>A.5</t>
        </is>
      </c>
      <c r="E96" t="inlineStr">
        <is>
          <t>A.16.1</t>
        </is>
      </c>
      <c r="G96" t="inlineStr">
        <is>
          <t>Applicable</t>
        </is>
      </c>
      <c r="H96" t="inlineStr">
        <is>
          <t>Mitigate</t>
        </is>
      </c>
    </row>
    <row r="97">
      <c r="A97" t="inlineStr">
        <is>
          <t>2026-04-14</t>
        </is>
      </c>
      <c r="B97" t="inlineStr">
        <is>
          <t>2026-0414-014</t>
        </is>
      </c>
      <c r="C97" t="inlineStr">
        <is>
          <t>ComTec Systems Ransomware — IT Provider Breach Cascades to Downstream Clients</t>
        </is>
      </c>
      <c r="D97" t="inlineStr">
        <is>
          <t>A.5</t>
        </is>
      </c>
      <c r="E97" t="inlineStr">
        <is>
          <t>A.15.1</t>
        </is>
      </c>
      <c r="G97" t="inlineStr">
        <is>
          <t>Applicable</t>
        </is>
      </c>
      <c r="H97" t="inlineStr">
        <is>
          <t>Mitigate</t>
        </is>
      </c>
    </row>
    <row r="98">
      <c r="A98" t="inlineStr">
        <is>
          <t>2026-04-14</t>
        </is>
      </c>
      <c r="B98" t="inlineStr">
        <is>
          <t>2026-0414-015</t>
        </is>
      </c>
      <c r="C98" t="inlineStr">
        <is>
          <t>Bitdefender April 2026 Threat Debrief — AI-Augmented Attack Techniques Accelerating</t>
        </is>
      </c>
      <c r="D98" t="inlineStr">
        <is>
          <t>A.5</t>
        </is>
      </c>
      <c r="E98" t="inlineStr">
        <is>
          <t>A.5.1</t>
        </is>
      </c>
      <c r="G98" t="inlineStr">
        <is>
          <t>Applicable</t>
        </is>
      </c>
      <c r="H98" t="inlineStr">
        <is>
          <t>Mitigate</t>
        </is>
      </c>
    </row>
    <row r="99">
      <c r="A99" t="inlineStr">
        <is>
          <t>2026-04-14</t>
        </is>
      </c>
      <c r="B99" t="inlineStr">
        <is>
          <t>2026-0414-016</t>
        </is>
      </c>
      <c r="C99" t="inlineStr">
        <is>
          <t>Vulnerable MCP Project Launches Comprehensive Security Database</t>
        </is>
      </c>
      <c r="D99" t="inlineStr">
        <is>
          <t>A.5</t>
        </is>
      </c>
      <c r="E99" t="inlineStr">
        <is>
          <t>A.18.2</t>
        </is>
      </c>
      <c r="G99" t="inlineStr">
        <is>
          <t>Applicable</t>
        </is>
      </c>
      <c r="H99" t="inlineStr">
        <is>
          <t>Mitigate</t>
        </is>
      </c>
    </row>
    <row r="100">
      <c r="A100" t="inlineStr">
        <is>
          <t>2026-04-14</t>
        </is>
      </c>
      <c r="B100" t="inlineStr">
        <is>
          <t>2026-0414-017</t>
        </is>
      </c>
      <c r="C100" t="inlineStr">
        <is>
          <t>MCP-DPT Defense-Placement Taxonomy Published (arXiv:2604.07551) — Coverage Gap Analysis</t>
        </is>
      </c>
      <c r="D100" t="inlineStr">
        <is>
          <t>A.5</t>
        </is>
      </c>
      <c r="E100" t="inlineStr">
        <is>
          <t>A.18.2</t>
        </is>
      </c>
      <c r="G100" t="inlineStr">
        <is>
          <t>Applicable</t>
        </is>
      </c>
      <c r="H100" t="inlineStr">
        <is>
          <t>Mitigate</t>
        </is>
      </c>
    </row>
    <row r="101">
      <c r="A101" t="inlineStr">
        <is>
          <t>2026-04-23</t>
        </is>
      </c>
      <c r="B101" t="inlineStr">
        <is>
          <t>2026-0423-001</t>
        </is>
      </c>
      <c r="C101" t="inlineStr">
        <is>
          <t>MCP / Toolchain RCE</t>
        </is>
      </c>
      <c r="D101" t="inlineStr">
        <is>
          <t>A.5</t>
        </is>
      </c>
      <c r="E101" t="inlineStr">
        <is>
          <t>A.14.2.5,A.14.2.7</t>
        </is>
      </c>
      <c r="G101" t="inlineStr">
        <is>
          <t>Yes</t>
        </is>
      </c>
      <c r="H101" t="inlineStr">
        <is>
          <t>Mitigate</t>
        </is>
      </c>
    </row>
    <row r="102">
      <c r="A102" t="inlineStr">
        <is>
          <t>2026-04-23</t>
        </is>
      </c>
      <c r="B102" t="inlineStr">
        <is>
          <t>2026-0423-002</t>
        </is>
      </c>
      <c r="C102" t="inlineStr">
        <is>
          <t>MCP / Toolchain RCE</t>
        </is>
      </c>
      <c r="D102" t="inlineStr">
        <is>
          <t>A.5</t>
        </is>
      </c>
      <c r="E102" t="inlineStr">
        <is>
          <t>A.14.2.5</t>
        </is>
      </c>
      <c r="G102" t="inlineStr">
        <is>
          <t>Yes</t>
        </is>
      </c>
      <c r="H102" t="inlineStr">
        <is>
          <t>Mitigate</t>
        </is>
      </c>
    </row>
    <row r="103">
      <c r="A103" t="inlineStr">
        <is>
          <t>2026-04-23</t>
        </is>
      </c>
      <c r="B103" t="inlineStr">
        <is>
          <t>2026-0423-003</t>
        </is>
      </c>
      <c r="C103" t="inlineStr">
        <is>
          <t>Inference Engine SSRF</t>
        </is>
      </c>
      <c r="D103" t="inlineStr">
        <is>
          <t>A.5</t>
        </is>
      </c>
      <c r="E103" t="inlineStr">
        <is>
          <t>A.13.1</t>
        </is>
      </c>
      <c r="G103" t="inlineStr">
        <is>
          <t>Yes</t>
        </is>
      </c>
      <c r="H103" t="inlineStr">
        <is>
          <t>Mitigate</t>
        </is>
      </c>
    </row>
    <row r="104">
      <c r="A104" t="inlineStr">
        <is>
          <t>2026-04-23</t>
        </is>
      </c>
      <c r="B104" t="inlineStr">
        <is>
          <t>2026-0423-004</t>
        </is>
      </c>
      <c r="C104" t="inlineStr">
        <is>
          <t>Memory Poisoning</t>
        </is>
      </c>
      <c r="D104" t="inlineStr">
        <is>
          <t>A.5</t>
        </is>
      </c>
      <c r="E104" t="inlineStr">
        <is>
          <t>A.14.1.2</t>
        </is>
      </c>
      <c r="G104" t="inlineStr">
        <is>
          <t>Yes</t>
        </is>
      </c>
      <c r="H104" t="inlineStr">
        <is>
          <t>Mitigate</t>
        </is>
      </c>
    </row>
    <row r="105">
      <c r="A105" t="inlineStr">
        <is>
          <t>2026-04-23</t>
        </is>
      </c>
      <c r="B105" t="inlineStr">
        <is>
          <t>2026-0423-005</t>
        </is>
      </c>
      <c r="C105" t="inlineStr">
        <is>
          <t>Recommendation Poisoning</t>
        </is>
      </c>
      <c r="D105" t="inlineStr">
        <is>
          <t>A.5</t>
        </is>
      </c>
      <c r="E105" t="inlineStr">
        <is>
          <t>A.14.1.2</t>
        </is>
      </c>
      <c r="G105" t="inlineStr">
        <is>
          <t>Yes</t>
        </is>
      </c>
      <c r="H105" t="inlineStr">
        <is>
          <t>Mitigate</t>
        </is>
      </c>
    </row>
    <row r="106">
      <c r="A106" t="inlineStr">
        <is>
          <t>2026-04-23</t>
        </is>
      </c>
      <c r="B106" t="inlineStr">
        <is>
          <t>2026-0423-006</t>
        </is>
      </c>
      <c r="C106" t="inlineStr">
        <is>
          <t>Governance Signal</t>
        </is>
      </c>
      <c r="D106" t="inlineStr">
        <is>
          <t>A.5</t>
        </is>
      </c>
      <c r="E106" t="inlineStr">
        <is>
          <t>A.5.1,A.6.1</t>
        </is>
      </c>
      <c r="G106" t="inlineStr">
        <is>
          <t>Yes</t>
        </is>
      </c>
      <c r="H106" t="inlineStr">
        <is>
          <t>Mitigate</t>
        </is>
      </c>
    </row>
    <row r="107">
      <c r="A107" t="inlineStr">
        <is>
          <t>2026-04-23</t>
        </is>
      </c>
      <c r="B107" t="inlineStr">
        <is>
          <t>2026-0423-007</t>
        </is>
      </c>
      <c r="C107" t="inlineStr">
        <is>
          <t>Agent Privilege Abuse</t>
        </is>
      </c>
      <c r="D107" t="inlineStr">
        <is>
          <t>A.5</t>
        </is>
      </c>
      <c r="E107" t="inlineStr">
        <is>
          <t>A.9.2,A.16.1</t>
        </is>
      </c>
      <c r="G107" t="inlineStr">
        <is>
          <t>Yes</t>
        </is>
      </c>
      <c r="H107" t="inlineStr">
        <is>
          <t>Mitigate</t>
        </is>
      </c>
    </row>
    <row r="108">
      <c r="A108" t="inlineStr">
        <is>
          <t>2026-04-23</t>
        </is>
      </c>
      <c r="B108" t="inlineStr">
        <is>
          <t>2026-0423-008</t>
        </is>
      </c>
      <c r="C108" t="inlineStr">
        <is>
          <t>Offensive AI Capability</t>
        </is>
      </c>
      <c r="D108" t="inlineStr">
        <is>
          <t>A.5</t>
        </is>
      </c>
      <c r="E108" t="inlineStr">
        <is>
          <t>A.5.1,A.12.6.1</t>
        </is>
      </c>
      <c r="G108" t="inlineStr">
        <is>
          <t>Yes</t>
        </is>
      </c>
      <c r="H108" t="inlineStr">
        <is>
          <t>Mitigate</t>
        </is>
      </c>
    </row>
    <row r="109">
      <c r="A109" t="inlineStr">
        <is>
          <t>2026-04-23</t>
        </is>
      </c>
      <c r="B109" t="inlineStr">
        <is>
          <t>2026-0423-009</t>
        </is>
      </c>
      <c r="C109" t="inlineStr">
        <is>
          <t>AI Toolchain RCE</t>
        </is>
      </c>
      <c r="D109" t="inlineStr">
        <is>
          <t>A.5</t>
        </is>
      </c>
      <c r="E109" t="inlineStr">
        <is>
          <t>A.14.2.5</t>
        </is>
      </c>
      <c r="G109" t="inlineStr">
        <is>
          <t>Yes</t>
        </is>
      </c>
      <c r="H109" t="inlineStr">
        <is>
          <t>Mitigate</t>
        </is>
      </c>
    </row>
    <row r="110">
      <c r="A110" t="inlineStr">
        <is>
          <t>2026-04-23</t>
        </is>
      </c>
      <c r="B110" t="inlineStr">
        <is>
          <t>2026-0423-010</t>
        </is>
      </c>
      <c r="C110" t="inlineStr">
        <is>
          <t>Third-party AI SaaS</t>
        </is>
      </c>
      <c r="D110" t="inlineStr">
        <is>
          <t>A.5</t>
        </is>
      </c>
      <c r="E110" t="inlineStr">
        <is>
          <t>A.15.1,A.15.2</t>
        </is>
      </c>
      <c r="G110" t="inlineStr">
        <is>
          <t>Yes</t>
        </is>
      </c>
      <c r="H110" t="inlineStr">
        <is>
          <t>Mitigate</t>
        </is>
      </c>
    </row>
    <row r="111">
      <c r="A111" t="inlineStr">
        <is>
          <t>2026-04-23</t>
        </is>
      </c>
      <c r="B111" t="inlineStr">
        <is>
          <t>2026-0423-011</t>
        </is>
      </c>
      <c r="C111" t="inlineStr">
        <is>
          <t>AI Workflow Platform</t>
        </is>
      </c>
      <c r="D111" t="inlineStr">
        <is>
          <t>A.5</t>
        </is>
      </c>
      <c r="E111" t="inlineStr">
        <is>
          <t>A.12.6.1,A.9.2</t>
        </is>
      </c>
      <c r="G111" t="inlineStr">
        <is>
          <t>Yes</t>
        </is>
      </c>
      <c r="H111" t="inlineStr">
        <is>
          <t>Mitigate</t>
        </is>
      </c>
    </row>
    <row r="112">
      <c r="A112" t="inlineStr">
        <is>
          <t>2026-04-23</t>
        </is>
      </c>
      <c r="B112" t="inlineStr">
        <is>
          <t>2026-0423-012</t>
        </is>
      </c>
      <c r="C112" t="inlineStr">
        <is>
          <t>AI Defensive Capability</t>
        </is>
      </c>
      <c r="D112" t="inlineStr">
        <is>
          <t>A.5</t>
        </is>
      </c>
      <c r="E112" t="inlineStr">
        <is>
          <t>A.12.6.1</t>
        </is>
      </c>
      <c r="G112" t="inlineStr">
        <is>
          <t>Yes</t>
        </is>
      </c>
      <c r="H112" t="inlineStr">
        <is>
          <t>Mitigate</t>
        </is>
      </c>
    </row>
    <row r="113">
      <c r="A113" t="inlineStr">
        <is>
          <t>2026-04-23</t>
        </is>
      </c>
      <c r="B113" t="inlineStr">
        <is>
          <t>2026-0423-013</t>
        </is>
      </c>
      <c r="C113" t="inlineStr">
        <is>
          <t>Endpoint Security Abuse</t>
        </is>
      </c>
      <c r="D113" t="inlineStr">
        <is>
          <t>A.5</t>
        </is>
      </c>
      <c r="E113" t="inlineStr">
        <is>
          <t>A.12.2</t>
        </is>
      </c>
      <c r="G113" t="inlineStr">
        <is>
          <t>Yes</t>
        </is>
      </c>
      <c r="H113" t="inlineStr">
        <is>
          <t>Mitigate</t>
        </is>
      </c>
    </row>
    <row r="114">
      <c r="A114" t="inlineStr">
        <is>
          <t>2026-04-23</t>
        </is>
      </c>
      <c r="B114" t="inlineStr">
        <is>
          <t>2026-0423-014</t>
        </is>
      </c>
      <c r="C114" t="inlineStr">
        <is>
          <t>Framework Update</t>
        </is>
      </c>
      <c r="D114" t="inlineStr">
        <is>
          <t>A.5</t>
        </is>
      </c>
      <c r="E114" t="inlineStr">
        <is>
          <t>A.18.2</t>
        </is>
      </c>
      <c r="G114" t="inlineStr">
        <is>
          <t>Yes</t>
        </is>
      </c>
      <c r="H114" t="inlineStr">
        <is>
          <t>Mitigate</t>
        </is>
      </c>
    </row>
    <row r="115">
      <c r="A115" t="inlineStr">
        <is>
          <t>2026-04-23</t>
        </is>
      </c>
      <c r="B115" t="inlineStr">
        <is>
          <t>2026-0423-015</t>
        </is>
      </c>
      <c r="C115" t="inlineStr">
        <is>
          <t>Framework Update</t>
        </is>
      </c>
      <c r="D115" t="inlineStr">
        <is>
          <t>A.5</t>
        </is>
      </c>
      <c r="E115" t="inlineStr">
        <is>
          <t>A.5.1</t>
        </is>
      </c>
      <c r="G115" t="inlineStr">
        <is>
          <t>Yes</t>
        </is>
      </c>
      <c r="H115" t="inlineStr">
        <is>
          <t>Mitigate</t>
        </is>
      </c>
    </row>
    <row r="116">
      <c r="A116" t="inlineStr">
        <is>
          <t>2026-04-23</t>
        </is>
      </c>
      <c r="B116" t="inlineStr">
        <is>
          <t>2026-0423-016</t>
        </is>
      </c>
      <c r="C116" t="inlineStr">
        <is>
          <t>Regulatory/Profile</t>
        </is>
      </c>
      <c r="D116" t="inlineStr">
        <is>
          <t>A.5</t>
        </is>
      </c>
      <c r="E116" t="inlineStr">
        <is>
          <t>A.5.1</t>
        </is>
      </c>
      <c r="G116" t="inlineStr">
        <is>
          <t>Yes</t>
        </is>
      </c>
      <c r="H116" t="inlineStr">
        <is>
          <t>Mitigate</t>
        </is>
      </c>
    </row>
    <row r="117">
      <c r="A117" t="inlineStr">
        <is>
          <t>2026-04-23</t>
        </is>
      </c>
      <c r="B117" t="inlineStr">
        <is>
          <t>2026-0423-017</t>
        </is>
      </c>
      <c r="C117" t="inlineStr">
        <is>
          <t>Implementation Guide</t>
        </is>
      </c>
      <c r="D117" t="inlineStr">
        <is>
          <t>A.5</t>
        </is>
      </c>
      <c r="E117" t="inlineStr">
        <is>
          <t>A.14.2.5</t>
        </is>
      </c>
      <c r="G117" t="inlineStr">
        <is>
          <t>Yes</t>
        </is>
      </c>
      <c r="H117" t="inlineStr">
        <is>
          <t>Mitigate</t>
        </is>
      </c>
    </row>
    <row r="118">
      <c r="A118" t="inlineStr">
        <is>
          <t>2026-04-24</t>
        </is>
      </c>
      <c r="B118" t="inlineStr">
        <is>
          <t>2026-0424-001</t>
        </is>
      </c>
      <c r="C118" t="inlineStr">
        <is>
          <t>Claude Code + GPT-4.1 Weaponized Against Mexican Government - 195M Records / 150GB Exfiltrated</t>
        </is>
      </c>
      <c r="D118" t="inlineStr">
        <is>
          <t>A.5</t>
        </is>
      </c>
      <c r="E118" t="inlineStr">
        <is>
          <t>A.9.2, A.9.4, A.12.4, A.16.1</t>
        </is>
      </c>
      <c r="G118" t="inlineStr">
        <is>
          <t>Yes</t>
        </is>
      </c>
      <c r="H118" t="inlineStr">
        <is>
          <t>Mitigate</t>
        </is>
      </c>
    </row>
    <row r="119">
      <c r="A119" t="inlineStr">
        <is>
          <t>2026-04-24</t>
        </is>
      </c>
      <c r="B119" t="inlineStr">
        <is>
          <t>2026-0424-002</t>
        </is>
      </c>
      <c r="C119" t="inlineStr">
        <is>
          <t>Google Antigravity Prompt-Injection-to-RCE - find_by_name Pattern Flag Injection Escapes Sandbox</t>
        </is>
      </c>
      <c r="D119" t="inlineStr">
        <is>
          <t>A.5</t>
        </is>
      </c>
      <c r="E119" t="inlineStr">
        <is>
          <t>A.14.2.5, A.14.2.1</t>
        </is>
      </c>
      <c r="G119" t="inlineStr">
        <is>
          <t>Yes</t>
        </is>
      </c>
      <c r="H119" t="inlineStr">
        <is>
          <t>Mitigate</t>
        </is>
      </c>
    </row>
    <row r="120">
      <c r="A120" t="inlineStr">
        <is>
          <t>2026-04-24</t>
        </is>
      </c>
      <c r="B120" t="inlineStr">
        <is>
          <t>2026-0424-003</t>
        </is>
      </c>
      <c r="C120" t="inlineStr">
        <is>
          <t>CVE-2026-22778 - vLLM RCE via Malicious Video URL (Unauthenticated Chain)</t>
        </is>
      </c>
      <c r="D120" t="inlineStr">
        <is>
          <t>A.5</t>
        </is>
      </c>
      <c r="E120" t="inlineStr">
        <is>
          <t>A.12.6.1, A.14.2.5</t>
        </is>
      </c>
      <c r="G120" t="inlineStr">
        <is>
          <t>Yes</t>
        </is>
      </c>
      <c r="H120" t="inlineStr">
        <is>
          <t>Mitigate</t>
        </is>
      </c>
    </row>
    <row r="121">
      <c r="A121" t="inlineStr">
        <is>
          <t>2026-04-24</t>
        </is>
      </c>
      <c r="B121" t="inlineStr">
        <is>
          <t>2026-0424-004</t>
        </is>
      </c>
      <c r="C121" t="inlineStr">
        <is>
          <t>CVE-2026-22807 - vLLM auto_map Code Injection at Model Load (trust_remote_code Bypass)</t>
        </is>
      </c>
      <c r="D121" t="inlineStr">
        <is>
          <t>A.5</t>
        </is>
      </c>
      <c r="E121" t="inlineStr">
        <is>
          <t>A.14.2.7, A.15.1</t>
        </is>
      </c>
      <c r="G121" t="inlineStr">
        <is>
          <t>Yes</t>
        </is>
      </c>
      <c r="H121" t="inlineStr">
        <is>
          <t>Mitigate</t>
        </is>
      </c>
    </row>
    <row r="122">
      <c r="A122" t="inlineStr">
        <is>
          <t>2026-04-24</t>
        </is>
      </c>
      <c r="B122" t="inlineStr">
        <is>
          <t>2026-0424-005</t>
        </is>
      </c>
      <c r="C122" t="inlineStr">
        <is>
          <t>Poetry Jailbreak - Universal Single-Shot Safety Bypass Across Frontier LLMs</t>
        </is>
      </c>
      <c r="D122" t="inlineStr">
        <is>
          <t>A.5</t>
        </is>
      </c>
      <c r="E122" t="inlineStr">
        <is>
          <t>A.14.2.5</t>
        </is>
      </c>
      <c r="G122" t="inlineStr">
        <is>
          <t>Yes</t>
        </is>
      </c>
      <c r="H122" t="inlineStr">
        <is>
          <t>Mitigate</t>
        </is>
      </c>
    </row>
    <row r="123">
      <c r="A123" t="inlineStr">
        <is>
          <t>2026-04-24</t>
        </is>
      </c>
      <c r="B123" t="inlineStr">
        <is>
          <t>2026-0424-006</t>
        </is>
      </c>
      <c r="C123" t="inlineStr">
        <is>
          <t>Enterprise AI Chat Exposure - 46.5M Messages / 728K Files / 3.68M RAG Chunks</t>
        </is>
      </c>
      <c r="D123" t="inlineStr">
        <is>
          <t>A.5</t>
        </is>
      </c>
      <c r="E123" t="inlineStr">
        <is>
          <t>A.9.2, A.14.1.2, A.16.1</t>
        </is>
      </c>
      <c r="G123" t="inlineStr">
        <is>
          <t>Yes</t>
        </is>
      </c>
      <c r="H123" t="inlineStr">
        <is>
          <t>Mitigate</t>
        </is>
      </c>
    </row>
    <row r="124">
      <c r="A124" t="inlineStr">
        <is>
          <t>2026-04-24</t>
        </is>
      </c>
      <c r="B124" t="inlineStr">
        <is>
          <t>2026-0424-007</t>
        </is>
      </c>
      <c r="C124" t="inlineStr">
        <is>
          <t>CrowdStrike 2026 Global Threat Report - AI Security Tools Hijacked at 90+ Organizations</t>
        </is>
      </c>
      <c r="D124" t="inlineStr">
        <is>
          <t>A.5</t>
        </is>
      </c>
      <c r="E124" t="inlineStr">
        <is>
          <t>A.9.2, A.12.4, A.16.1</t>
        </is>
      </c>
      <c r="G124" t="inlineStr">
        <is>
          <t>Yes</t>
        </is>
      </c>
      <c r="H124" t="inlineStr">
        <is>
          <t>Mitigate</t>
        </is>
      </c>
    </row>
    <row r="125">
      <c r="A125" t="inlineStr">
        <is>
          <t>2026-04-24</t>
        </is>
      </c>
      <c r="B125" t="inlineStr">
        <is>
          <t>2026-0424-008</t>
        </is>
      </c>
      <c r="C125" t="inlineStr">
        <is>
          <t>PhantomRaven - 126 Malicious npm Packages Exploiting AI Package Hallucination</t>
        </is>
      </c>
      <c r="D125" t="inlineStr">
        <is>
          <t>A.5</t>
        </is>
      </c>
      <c r="E125" t="inlineStr">
        <is>
          <t>A.14.2.7, A.15.1</t>
        </is>
      </c>
      <c r="G125" t="inlineStr">
        <is>
          <t>Yes</t>
        </is>
      </c>
      <c r="H125" t="inlineStr">
        <is>
          <t>Mitigate</t>
        </is>
      </c>
    </row>
    <row r="126">
      <c r="A126" t="inlineStr">
        <is>
          <t>2026-04-24</t>
        </is>
      </c>
      <c r="B126" t="inlineStr">
        <is>
          <t>2026-0424-009</t>
        </is>
      </c>
      <c r="C126" t="inlineStr">
        <is>
          <t>Postmark Impersonation MCP Server - Silent BCC Exfiltration of Every Agent Email</t>
        </is>
      </c>
      <c r="D126" t="inlineStr">
        <is>
          <t>A.5</t>
        </is>
      </c>
      <c r="E126" t="inlineStr">
        <is>
          <t>A.13.1, A.13.2, A.15.1</t>
        </is>
      </c>
      <c r="G126" t="inlineStr">
        <is>
          <t>Yes</t>
        </is>
      </c>
      <c r="H126" t="inlineStr">
        <is>
          <t>Mitigate</t>
        </is>
      </c>
    </row>
    <row r="127">
      <c r="A127" t="inlineStr">
        <is>
          <t>2026-04-24</t>
        </is>
      </c>
      <c r="B127" t="inlineStr">
        <is>
          <t>2026-0424-010</t>
        </is>
      </c>
      <c r="C127" t="inlineStr">
        <is>
          <t>CVE-2026-34753 - vLLM Batch Runner SSRF via download_bytes_from_url</t>
        </is>
      </c>
      <c r="D127" t="inlineStr">
        <is>
          <t>A.5</t>
        </is>
      </c>
      <c r="E127" t="inlineStr">
        <is>
          <t>A.13.1</t>
        </is>
      </c>
      <c r="G127" t="inlineStr">
        <is>
          <t>Yes</t>
        </is>
      </c>
      <c r="H127" t="inlineStr">
        <is>
          <t>Mitigate</t>
        </is>
      </c>
    </row>
    <row r="128">
      <c r="A128" t="inlineStr">
        <is>
          <t>2026-04-24</t>
        </is>
      </c>
      <c r="B128" t="inlineStr">
        <is>
          <t>2026-0424-011</t>
        </is>
      </c>
      <c r="C128" t="inlineStr">
        <is>
          <t>CISA KEV Adds 8 Exploited Flaws - Cisco Catalyst SD-WAN Trio, April 23/May 4 Federal Deadlines</t>
        </is>
      </c>
      <c r="D128" t="inlineStr">
        <is>
          <t>A.5</t>
        </is>
      </c>
      <c r="E128" t="inlineStr">
        <is>
          <t>A.12.6.1</t>
        </is>
      </c>
      <c r="G128" t="inlineStr">
        <is>
          <t>Yes</t>
        </is>
      </c>
      <c r="H128" t="inlineStr">
        <is>
          <t>Mitigate</t>
        </is>
      </c>
    </row>
    <row r="129">
      <c r="A129" t="inlineStr">
        <is>
          <t>2026-04-24</t>
        </is>
      </c>
      <c r="B129" t="inlineStr">
        <is>
          <t>2026-0424-012</t>
        </is>
      </c>
      <c r="C129" t="inlineStr">
        <is>
          <t>Microsoft April 2026 Patch Tuesday - 160+ Fixes Including 2 Zero-Days</t>
        </is>
      </c>
      <c r="D129" t="inlineStr">
        <is>
          <t>A.5</t>
        </is>
      </c>
      <c r="E129" t="inlineStr">
        <is>
          <t>A.12.6.1</t>
        </is>
      </c>
      <c r="G129" t="inlineStr">
        <is>
          <t>Yes</t>
        </is>
      </c>
      <c r="H129" t="inlineStr">
        <is>
          <t>Mitigate</t>
        </is>
      </c>
    </row>
    <row r="130">
      <c r="A130" t="inlineStr">
        <is>
          <t>2026-04-24</t>
        </is>
      </c>
      <c r="B130" t="inlineStr">
        <is>
          <t>2026-0424-013</t>
        </is>
      </c>
      <c r="C130" t="inlineStr">
        <is>
          <t>AI Voice-Clone Scam Wave - 1-in-10 Americans Affected, Congressional Hearings Open</t>
        </is>
      </c>
      <c r="D130" t="inlineStr">
        <is>
          <t>A.5</t>
        </is>
      </c>
      <c r="E130" t="inlineStr">
        <is>
          <t>A.7.2, A.16.1</t>
        </is>
      </c>
      <c r="G130" t="inlineStr">
        <is>
          <t>Yes</t>
        </is>
      </c>
      <c r="H130" t="inlineStr">
        <is>
          <t>Mitigate</t>
        </is>
      </c>
    </row>
    <row r="131">
      <c r="A131" t="inlineStr">
        <is>
          <t>2026-04-24</t>
        </is>
      </c>
      <c r="B131" t="inlineStr">
        <is>
          <t>2026-0424-014</t>
        </is>
      </c>
      <c r="C131" t="inlineStr">
        <is>
          <t>IBM Announces Agentic Attack Defense Measures (Apr 15, 2026)</t>
        </is>
      </c>
      <c r="D131" t="inlineStr">
        <is>
          <t>A.5</t>
        </is>
      </c>
      <c r="E131" t="inlineStr">
        <is>
          <t>A.5.1, A.18.2</t>
        </is>
      </c>
      <c r="G131" t="inlineStr">
        <is>
          <t>Yes</t>
        </is>
      </c>
      <c r="H131" t="inlineStr">
        <is>
          <t>Mitigate</t>
        </is>
      </c>
    </row>
    <row r="132">
      <c r="A132" t="inlineStr">
        <is>
          <t>2026-04-24</t>
        </is>
      </c>
      <c r="B132" t="inlineStr">
        <is>
          <t>2026-0424-015</t>
        </is>
      </c>
      <c r="C132" t="inlineStr">
        <is>
          <t>MITRE ATLAS AI Service API Technique (AML.T0096) - SesameOp Case Study Promoted</t>
        </is>
      </c>
      <c r="D132" t="inlineStr">
        <is>
          <t>A.5</t>
        </is>
      </c>
      <c r="E132" t="inlineStr">
        <is>
          <t>A.18.2</t>
        </is>
      </c>
      <c r="G132" t="inlineStr">
        <is>
          <t>Yes</t>
        </is>
      </c>
      <c r="H132" t="inlineStr">
        <is>
          <t>Mitigate</t>
        </is>
      </c>
    </row>
    <row r="133">
      <c r="A133" t="inlineStr">
        <is>
          <t>2026-04-24</t>
        </is>
      </c>
      <c r="B133" t="inlineStr">
        <is>
          <t>2026-0424-016</t>
        </is>
      </c>
      <c r="C133" t="inlineStr">
        <is>
          <t>NIST SP 800-53 COSAiS Control Overlays for AI - Q3 2026 Draft Window</t>
        </is>
      </c>
      <c r="D133" t="inlineStr">
        <is>
          <t>A.5</t>
        </is>
      </c>
      <c r="E133" t="inlineStr">
        <is>
          <t>A.5.1, A.18.1</t>
        </is>
      </c>
      <c r="G133" t="inlineStr">
        <is>
          <t>Yes</t>
        </is>
      </c>
      <c r="H133" t="inlineStr">
        <is>
          <t>Mitigate</t>
        </is>
      </c>
    </row>
    <row r="134">
      <c r="A134" t="inlineStr">
        <is>
          <t>2026-04-24</t>
        </is>
      </c>
      <c r="B134" t="inlineStr">
        <is>
          <t>2026-0424-017</t>
        </is>
      </c>
      <c r="C134" t="inlineStr">
        <is>
          <t>LiteLLM Security Hardening - CVE-2026-30623 Fixed in v1.83.6-nightly / v1.83.7-stable</t>
        </is>
      </c>
      <c r="D134" t="inlineStr">
        <is>
          <t>A.5</t>
        </is>
      </c>
      <c r="E134" t="inlineStr">
        <is>
          <t>A.14.2.5</t>
        </is>
      </c>
      <c r="G134" t="inlineStr">
        <is>
          <t>Yes</t>
        </is>
      </c>
      <c r="H134" t="inlineStr">
        <is>
          <t>Mitigate</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134"/>
  <sheetViews>
    <sheetView zoomScaleNormal="100" workbookViewId="0">
      <pane ySplit="1" topLeftCell="A2" activePane="bottomLeft" state="frozen"/>
      <selection pane="bottomLeft" activeCell="A1" sqref="A1"/>
    </sheetView>
  </sheetViews>
  <sheetFormatPr baseColWidth="8" defaultColWidth="8.6328125" defaultRowHeight="14.5"/>
  <cols>
    <col width="12" customWidth="1" min="1" max="1"/>
    <col width="15" customWidth="1" min="2" max="2"/>
    <col width="35" customWidth="1" min="3" max="3"/>
    <col width="25" customWidth="1" min="4" max="4"/>
    <col width="18" customWidth="1" min="5" max="5"/>
    <col width="15" customWidth="1" min="6" max="6"/>
    <col width="25" customWidth="1" min="7" max="7"/>
    <col width="20" customWidth="1" min="8" max="8"/>
  </cols>
  <sheetData>
    <row r="1">
      <c r="A1" s="2" t="inlineStr">
        <is>
          <t>Date</t>
        </is>
      </c>
      <c r="B1" s="2" t="inlineStr">
        <is>
          <t>Item ID</t>
        </is>
      </c>
      <c r="C1" s="2" t="inlineStr">
        <is>
          <t>Threat/Item Title</t>
        </is>
      </c>
      <c r="D1" s="2" t="inlineStr">
        <is>
          <t>ITSG-33 Control Family</t>
        </is>
      </c>
      <c r="E1" s="2" t="inlineStr">
        <is>
          <t>Specific Control</t>
        </is>
      </c>
      <c r="F1" s="2" t="inlineStr">
        <is>
          <t>Profile Level</t>
        </is>
      </c>
      <c r="G1" s="2" t="inlineStr">
        <is>
          <t>Implementation Guidance</t>
        </is>
      </c>
      <c r="H1" s="2" t="inlineStr">
        <is>
          <t>Assessment Notes</t>
        </is>
      </c>
    </row>
    <row r="2">
      <c r="A2" t="inlineStr">
        <is>
          <t>2026-04-07</t>
        </is>
      </c>
      <c r="B2" t="inlineStr">
        <is>
          <t>2026-0407-001</t>
        </is>
      </c>
      <c r="C2" t="inlineStr">
        <is>
          <t>OpenClaw AI Agent Framework Compromise</t>
        </is>
      </c>
      <c r="E2" t="inlineStr">
        <is>
          <t>SA-12</t>
        </is>
      </c>
      <c r="F2" t="inlineStr">
        <is>
          <t>PB-3</t>
        </is>
      </c>
    </row>
    <row r="3">
      <c r="A3" t="inlineStr">
        <is>
          <t>2026-04-07</t>
        </is>
      </c>
      <c r="B3" t="inlineStr">
        <is>
          <t>2026-0407-002</t>
        </is>
      </c>
      <c r="C3" t="inlineStr">
        <is>
          <t>LiteLLM CI Pipeline Backdoor</t>
        </is>
      </c>
      <c r="E3" t="inlineStr">
        <is>
          <t>SA-11</t>
        </is>
      </c>
      <c r="F3" t="inlineStr">
        <is>
          <t>PB-3</t>
        </is>
      </c>
    </row>
    <row r="4">
      <c r="A4" t="inlineStr">
        <is>
          <t>2026-04-07</t>
        </is>
      </c>
      <c r="B4" t="inlineStr">
        <is>
          <t>2026-0407-003</t>
        </is>
      </c>
      <c r="C4" t="inlineStr">
        <is>
          <t>Langflow Zero-Auth Compromise</t>
        </is>
      </c>
      <c r="E4" t="inlineStr">
        <is>
          <t>AC-3</t>
        </is>
      </c>
      <c r="F4" t="inlineStr">
        <is>
          <t>PB-3</t>
        </is>
      </c>
    </row>
    <row r="5">
      <c r="A5" t="inlineStr">
        <is>
          <t>2026-04-07</t>
        </is>
      </c>
      <c r="B5" t="inlineStr">
        <is>
          <t>2026-0407-004</t>
        </is>
      </c>
      <c r="C5" t="inlineStr">
        <is>
          <t>Prompt Injection 73% Production Rate</t>
        </is>
      </c>
      <c r="E5" t="inlineStr">
        <is>
          <t>SI-10</t>
        </is>
      </c>
      <c r="F5" t="inlineStr">
        <is>
          <t>PB-3</t>
        </is>
      </c>
    </row>
    <row r="6">
      <c r="A6" t="inlineStr">
        <is>
          <t>2026-04-07</t>
        </is>
      </c>
      <c r="B6" t="inlineStr">
        <is>
          <t>2026-0407-005</t>
        </is>
      </c>
      <c r="C6" t="inlineStr">
        <is>
          <t>MCP Security Vulnerabilities</t>
        </is>
      </c>
      <c r="E6" t="inlineStr">
        <is>
          <t>SA-12</t>
        </is>
      </c>
      <c r="F6" t="inlineStr">
        <is>
          <t>PB-3</t>
        </is>
      </c>
    </row>
    <row r="7">
      <c r="A7" t="inlineStr">
        <is>
          <t>2026-04-07</t>
        </is>
      </c>
      <c r="B7" t="inlineStr">
        <is>
          <t>2026-0407-006</t>
        </is>
      </c>
      <c r="C7" t="inlineStr">
        <is>
          <t>RAG Poisoning Attacks</t>
        </is>
      </c>
      <c r="E7" t="inlineStr">
        <is>
          <t>SI-7</t>
        </is>
      </c>
      <c r="F7" t="inlineStr">
        <is>
          <t>PB-3</t>
        </is>
      </c>
    </row>
    <row r="8">
      <c r="A8" t="inlineStr">
        <is>
          <t>2026-04-07</t>
        </is>
      </c>
      <c r="B8" t="inlineStr">
        <is>
          <t>2026-0407-007</t>
        </is>
      </c>
      <c r="C8" t="inlineStr">
        <is>
          <t>Drift Protocol $285M Theft (DPRK)</t>
        </is>
      </c>
      <c r="E8" t="inlineStr">
        <is>
          <t>IR-4</t>
        </is>
      </c>
      <c r="F8" t="inlineStr">
        <is>
          <t>PB-3</t>
        </is>
      </c>
    </row>
    <row r="9">
      <c r="A9" t="inlineStr">
        <is>
          <t>2026-04-07</t>
        </is>
      </c>
      <c r="B9" t="inlineStr">
        <is>
          <t>2026-0407-008</t>
        </is>
      </c>
      <c r="C9" t="inlineStr">
        <is>
          <t>Snowflake Mass Breach</t>
        </is>
      </c>
      <c r="E9" t="inlineStr">
        <is>
          <t>IA-2</t>
        </is>
      </c>
      <c r="F9" t="inlineStr">
        <is>
          <t>PB-3</t>
        </is>
      </c>
    </row>
    <row r="10">
      <c r="A10" t="inlineStr">
        <is>
          <t>2026-04-07</t>
        </is>
      </c>
      <c r="B10" t="inlineStr">
        <is>
          <t>2026-0407-009</t>
        </is>
      </c>
      <c r="C10" t="inlineStr">
        <is>
          <t>Fortinet FortiClient EMS Zero-Day</t>
        </is>
      </c>
      <c r="E10" t="inlineStr">
        <is>
          <t>SI-2</t>
        </is>
      </c>
      <c r="F10" t="inlineStr">
        <is>
          <t>PB-3</t>
        </is>
      </c>
    </row>
    <row r="11">
      <c r="A11" t="inlineStr">
        <is>
          <t>2026-04-07</t>
        </is>
      </c>
      <c r="B11" t="inlineStr">
        <is>
          <t>2026-0407-010</t>
        </is>
      </c>
      <c r="C11" t="inlineStr">
        <is>
          <t>97% Cloud-Native Incidents (Red Hat)</t>
        </is>
      </c>
      <c r="E11" t="inlineStr">
        <is>
          <t>CM-6</t>
        </is>
      </c>
      <c r="F11" t="inlineStr">
        <is>
          <t>PB-3</t>
        </is>
      </c>
    </row>
    <row r="12">
      <c r="A12" t="inlineStr">
        <is>
          <t>2026-04-07</t>
        </is>
      </c>
      <c r="B12" t="inlineStr">
        <is>
          <t>2026-0407-011</t>
        </is>
      </c>
      <c r="C12" t="inlineStr">
        <is>
          <t>Iran Password Spraying M365</t>
        </is>
      </c>
      <c r="E12" t="inlineStr">
        <is>
          <t>IA-5</t>
        </is>
      </c>
      <c r="F12" t="inlineStr">
        <is>
          <t>PB-3</t>
        </is>
      </c>
    </row>
    <row r="13">
      <c r="A13" t="inlineStr">
        <is>
          <t>2026-04-07</t>
        </is>
      </c>
      <c r="B13" t="inlineStr">
        <is>
          <t>2026-0407-012</t>
        </is>
      </c>
      <c r="C13" t="inlineStr">
        <is>
          <t>Flowise AI Platform Flaw</t>
        </is>
      </c>
      <c r="E13" t="inlineStr">
        <is>
          <t>SI-2</t>
        </is>
      </c>
      <c r="F13" t="inlineStr">
        <is>
          <t>PB-3</t>
        </is>
      </c>
    </row>
    <row r="14">
      <c r="A14" t="inlineStr">
        <is>
          <t>2026-04-07</t>
        </is>
      </c>
      <c r="B14" t="inlineStr">
        <is>
          <t>2026-0407-013</t>
        </is>
      </c>
      <c r="C14" t="inlineStr">
        <is>
          <t>Healthcare Ransomware (Interlock)</t>
        </is>
      </c>
      <c r="E14" t="inlineStr">
        <is>
          <t>IR-4</t>
        </is>
      </c>
      <c r="F14" t="inlineStr">
        <is>
          <t>PB-3</t>
        </is>
      </c>
    </row>
    <row r="15">
      <c r="A15" t="inlineStr">
        <is>
          <t>2026-04-07</t>
        </is>
      </c>
      <c r="B15" t="inlineStr">
        <is>
          <t>2026-0407-014</t>
        </is>
      </c>
      <c r="C15" t="inlineStr">
        <is>
          <t>OWASP GenAI Red Teaming Initiative</t>
        </is>
      </c>
      <c r="E15" t="inlineStr">
        <is>
          <t>CA-8</t>
        </is>
      </c>
      <c r="F15" t="inlineStr">
        <is>
          <t>PB-3</t>
        </is>
      </c>
    </row>
    <row r="16">
      <c r="A16" t="inlineStr">
        <is>
          <t>2026-04-07</t>
        </is>
      </c>
      <c r="B16" t="inlineStr">
        <is>
          <t>2026-0407-015</t>
        </is>
      </c>
      <c r="C16" t="inlineStr">
        <is>
          <t>NIST Cyber AI Profile / COSAiS</t>
        </is>
      </c>
      <c r="E16" t="inlineStr">
        <is>
          <t>PL-2</t>
        </is>
      </c>
      <c r="F16" t="inlineStr">
        <is>
          <t>PB-3</t>
        </is>
      </c>
    </row>
    <row r="17">
      <c r="A17" t="inlineStr">
        <is>
          <t>2026-04-08</t>
        </is>
      </c>
      <c r="B17" t="inlineStr">
        <is>
          <t>2026-0408-001</t>
        </is>
      </c>
      <c r="C17" t="inlineStr">
        <is>
          <t>Axios NPM Package Hijack — RAT Deployment</t>
        </is>
      </c>
      <c r="E17" t="inlineStr">
        <is>
          <t>SA-12</t>
        </is>
      </c>
      <c r="F17" t="inlineStr">
        <is>
          <t>PB-1</t>
        </is>
      </c>
    </row>
    <row r="18">
      <c r="A18" t="inlineStr">
        <is>
          <t>2026-04-08</t>
        </is>
      </c>
      <c r="B18" t="inlineStr">
        <is>
          <t>2026-0408-002</t>
        </is>
      </c>
      <c r="C18" t="inlineStr">
        <is>
          <t>LiteLLM PyPI Infostealer (TeamPCP)</t>
        </is>
      </c>
      <c r="E18" t="inlineStr">
        <is>
          <t>SA-11</t>
        </is>
      </c>
      <c r="F18" t="inlineStr">
        <is>
          <t>PB-1</t>
        </is>
      </c>
    </row>
    <row r="19">
      <c r="A19" t="inlineStr">
        <is>
          <t>2026-04-08</t>
        </is>
      </c>
      <c r="B19" t="inlineStr">
        <is>
          <t>2026-0408-003</t>
        </is>
      </c>
      <c r="C19" t="inlineStr">
        <is>
          <t>Citrix NetScaler ADC/Gateway CVE-2026-3055</t>
        </is>
      </c>
      <c r="E19" t="inlineStr">
        <is>
          <t>SI-2</t>
        </is>
      </c>
      <c r="F19" t="inlineStr">
        <is>
          <t>PB-1</t>
        </is>
      </c>
    </row>
    <row r="20">
      <c r="A20" t="inlineStr">
        <is>
          <t>2026-04-08</t>
        </is>
      </c>
      <c r="B20" t="inlineStr">
        <is>
          <t>2026-0408-004</t>
        </is>
      </c>
      <c r="C20" t="inlineStr">
        <is>
          <t>ChipSoft Healthcare Ransomware — 80% Dutch Hospitals</t>
        </is>
      </c>
      <c r="E20" t="inlineStr">
        <is>
          <t>IR-4</t>
        </is>
      </c>
      <c r="F20" t="inlineStr">
        <is>
          <t>PB-1</t>
        </is>
      </c>
    </row>
    <row r="21">
      <c r="A21" t="inlineStr">
        <is>
          <t>2026-04-08</t>
        </is>
      </c>
      <c r="B21" t="inlineStr">
        <is>
          <t>2026-0408-005</t>
        </is>
      </c>
      <c r="C21" t="inlineStr">
        <is>
          <t>LLMjacking — Operation Bizarre Bazaar</t>
        </is>
      </c>
      <c r="E21" t="inlineStr">
        <is>
          <t>AC-3</t>
        </is>
      </c>
      <c r="F21" t="inlineStr">
        <is>
          <t>PB-2</t>
        </is>
      </c>
    </row>
    <row r="22">
      <c r="A22" t="inlineStr">
        <is>
          <t>2026-04-08</t>
        </is>
      </c>
      <c r="B22" t="inlineStr">
        <is>
          <t>2026-0408-006</t>
        </is>
      </c>
      <c r="C22" t="inlineStr">
        <is>
          <t>MCP Sampling Attack Vectors (Unit42)</t>
        </is>
      </c>
      <c r="E22" t="inlineStr">
        <is>
          <t>SA-12</t>
        </is>
      </c>
      <c r="F22" t="inlineStr">
        <is>
          <t>PB-2</t>
        </is>
      </c>
    </row>
    <row r="23">
      <c r="A23" t="inlineStr">
        <is>
          <t>2026-04-08</t>
        </is>
      </c>
      <c r="B23" t="inlineStr">
        <is>
          <t>2026-0408-007</t>
        </is>
      </c>
      <c r="C23" t="inlineStr">
        <is>
          <t>Shadow AI — Primary Enterprise Data Leakage Vector</t>
        </is>
      </c>
      <c r="E23" t="inlineStr">
        <is>
          <t>CM-8</t>
        </is>
      </c>
      <c r="F23" t="inlineStr">
        <is>
          <t>PB-2</t>
        </is>
      </c>
    </row>
    <row r="24">
      <c r="A24" t="inlineStr">
        <is>
          <t>2026-04-08</t>
        </is>
      </c>
      <c r="B24" t="inlineStr">
        <is>
          <t>2026-0408-008</t>
        </is>
      </c>
      <c r="C24" t="inlineStr">
        <is>
          <t>Agentic AI Security Gap — 83% Deploy, 29% Ready</t>
        </is>
      </c>
      <c r="E24" t="inlineStr">
        <is>
          <t>PL-2</t>
        </is>
      </c>
      <c r="F24" t="inlineStr">
        <is>
          <t>PB-2</t>
        </is>
      </c>
    </row>
    <row r="25">
      <c r="A25" t="inlineStr">
        <is>
          <t>2026-04-08</t>
        </is>
      </c>
      <c r="B25" t="inlineStr">
        <is>
          <t>2026-0408-009</t>
        </is>
      </c>
      <c r="C25" t="inlineStr">
        <is>
          <t>Chaos Malware Cloud-Targeting Variant</t>
        </is>
      </c>
      <c r="E25" t="inlineStr">
        <is>
          <t>CM-6</t>
        </is>
      </c>
      <c r="F25" t="inlineStr">
        <is>
          <t>PB-2</t>
        </is>
      </c>
    </row>
    <row r="26">
      <c r="A26" t="inlineStr">
        <is>
          <t>2026-04-08</t>
        </is>
      </c>
      <c r="B26" t="inlineStr">
        <is>
          <t>2026-0408-010</t>
        </is>
      </c>
      <c r="C26" t="inlineStr">
        <is>
          <t>Handala Ransomware Group Surge — 23 Victims March</t>
        </is>
      </c>
      <c r="E26" t="inlineStr">
        <is>
          <t>IR-4</t>
        </is>
      </c>
      <c r="F26" t="inlineStr">
        <is>
          <t>PB-2</t>
        </is>
      </c>
    </row>
    <row r="27">
      <c r="A27" t="inlineStr">
        <is>
          <t>2026-04-08</t>
        </is>
      </c>
      <c r="B27" t="inlineStr">
        <is>
          <t>2026-0408-011</t>
        </is>
      </c>
      <c r="C27" t="inlineStr">
        <is>
          <t>LLM Agent Memory Poisoning Attacks</t>
        </is>
      </c>
      <c r="E27" t="inlineStr">
        <is>
          <t>SI-7</t>
        </is>
      </c>
      <c r="F27" t="inlineStr">
        <is>
          <t>PB-3</t>
        </is>
      </c>
    </row>
    <row r="28">
      <c r="A28" t="inlineStr">
        <is>
          <t>2026-04-08</t>
        </is>
      </c>
      <c r="B28" t="inlineStr">
        <is>
          <t>2026-0408-012</t>
        </is>
      </c>
      <c r="C28" t="inlineStr">
        <is>
          <t>Middlesex County Government Systems Attack</t>
        </is>
      </c>
      <c r="E28" t="inlineStr">
        <is>
          <t>IR-4</t>
        </is>
      </c>
      <c r="F28" t="inlineStr">
        <is>
          <t>PB-3</t>
        </is>
      </c>
    </row>
    <row r="29">
      <c r="A29" t="inlineStr">
        <is>
          <t>2026-04-08</t>
        </is>
      </c>
      <c r="B29" t="inlineStr">
        <is>
          <t>2026-0408-013</t>
        </is>
      </c>
      <c r="C29" t="inlineStr">
        <is>
          <t>Qilin RaaS — 1,800+ Cumulative Victims</t>
        </is>
      </c>
      <c r="E29" t="inlineStr">
        <is>
          <t>IR-4</t>
        </is>
      </c>
      <c r="F29" t="inlineStr">
        <is>
          <t>PB-3</t>
        </is>
      </c>
    </row>
    <row r="30">
      <c r="A30" t="inlineStr">
        <is>
          <t>2026-04-08</t>
        </is>
      </c>
      <c r="B30" t="inlineStr">
        <is>
          <t>2026-0408-014</t>
        </is>
      </c>
      <c r="C30" t="inlineStr">
        <is>
          <t>OWASP Top 10 for Agentic Applications 2026</t>
        </is>
      </c>
      <c r="E30" t="inlineStr">
        <is>
          <t>CA-8</t>
        </is>
      </c>
      <c r="F30" t="inlineStr">
        <is>
          <t>PB-3</t>
        </is>
      </c>
    </row>
    <row r="31">
      <c r="A31" t="inlineStr">
        <is>
          <t>2026-04-08</t>
        </is>
      </c>
      <c r="B31" t="inlineStr">
        <is>
          <t>2026-0408-015</t>
        </is>
      </c>
      <c r="C31" t="inlineStr">
        <is>
          <t>Cisco State of AI Security 2026 Report</t>
        </is>
      </c>
      <c r="E31" t="inlineStr">
        <is>
          <t>PL-2</t>
        </is>
      </c>
      <c r="F31" t="inlineStr">
        <is>
          <t>PB-3</t>
        </is>
      </c>
    </row>
    <row r="32">
      <c r="A32" t="inlineStr">
        <is>
          <t>2026-04-09</t>
        </is>
      </c>
      <c r="B32" t="inlineStr">
        <is>
          <t>2026-0409-001</t>
        </is>
      </c>
      <c r="C32" t="inlineStr">
        <is>
          <t>EchoLeak: M365 Copilot Zero-Click Data Exfiltration</t>
        </is>
      </c>
      <c r="D32" t="inlineStr">
        <is>
          <t>SI</t>
        </is>
      </c>
      <c r="E32" t="inlineStr">
        <is>
          <t>SI-10</t>
        </is>
      </c>
      <c r="F32" t="inlineStr">
        <is>
          <t>PB-3 (High)</t>
        </is>
      </c>
    </row>
    <row r="33">
      <c r="A33" t="inlineStr">
        <is>
          <t>2026-04-09</t>
        </is>
      </c>
      <c r="B33" t="inlineStr">
        <is>
          <t>2026-0409-002</t>
        </is>
      </c>
      <c r="C33" t="inlineStr">
        <is>
          <t>OpenClaw Malicious Marketplace Skills &amp; WebSocket Hijack</t>
        </is>
      </c>
      <c r="D33" t="inlineStr">
        <is>
          <t>SA</t>
        </is>
      </c>
      <c r="E33" t="inlineStr">
        <is>
          <t>SA-12</t>
        </is>
      </c>
      <c r="F33" t="inlineStr">
        <is>
          <t>PB-3 (High)</t>
        </is>
      </c>
    </row>
    <row r="34">
      <c r="A34" t="inlineStr">
        <is>
          <t>2026-04-09</t>
        </is>
      </c>
      <c r="B34" t="inlineStr">
        <is>
          <t>2026-0409-003</t>
        </is>
      </c>
      <c r="C34" t="inlineStr">
        <is>
          <t>MCP Security Audit: 43% Vulnerable, 30+ CVEs in 60 Days</t>
        </is>
      </c>
      <c r="D34" t="inlineStr">
        <is>
          <t>SA</t>
        </is>
      </c>
      <c r="E34" t="inlineStr">
        <is>
          <t>SA-12</t>
        </is>
      </c>
      <c r="F34" t="inlineStr">
        <is>
          <t>PB-2 (Medium)</t>
        </is>
      </c>
    </row>
    <row r="35">
      <c r="A35" t="inlineStr">
        <is>
          <t>2026-04-09</t>
        </is>
      </c>
      <c r="B35" t="inlineStr">
        <is>
          <t>2026-0409-004</t>
        </is>
      </c>
      <c r="C35" t="inlineStr">
        <is>
          <t>Indirect Prompt Injection — 80% SSH Key Exfiltration via Poisoned Email</t>
        </is>
      </c>
      <c r="D35" t="inlineStr">
        <is>
          <t>SI</t>
        </is>
      </c>
      <c r="E35" t="inlineStr">
        <is>
          <t>SI-10</t>
        </is>
      </c>
      <c r="F35" t="inlineStr">
        <is>
          <t>PB-2 (Medium)</t>
        </is>
      </c>
    </row>
    <row r="36">
      <c r="A36" t="inlineStr">
        <is>
          <t>2026-04-09</t>
        </is>
      </c>
      <c r="B36" t="inlineStr">
        <is>
          <t>2026-0409-005</t>
        </is>
      </c>
      <c r="C36" t="inlineStr">
        <is>
          <t>arXiv:2604.03081 — Supply-Chain Poisoning in LLM Coding Agent Skill Ecosystems</t>
        </is>
      </c>
      <c r="D36" t="inlineStr">
        <is>
          <t>SA</t>
        </is>
      </c>
      <c r="E36" t="inlineStr">
        <is>
          <t>SA-12</t>
        </is>
      </c>
      <c r="F36" t="inlineStr">
        <is>
          <t>PB-2 (Medium)</t>
        </is>
      </c>
    </row>
    <row r="37">
      <c r="A37" t="inlineStr">
        <is>
          <t>2026-04-09</t>
        </is>
      </c>
      <c r="B37" t="inlineStr">
        <is>
          <t>2026-0409-006</t>
        </is>
      </c>
      <c r="C37" t="inlineStr">
        <is>
          <t>AI Trading Agent Vulnerability — $45M Crypto Protocol Breach</t>
        </is>
      </c>
      <c r="D37" t="inlineStr">
        <is>
          <t>AC</t>
        </is>
      </c>
      <c r="E37" t="inlineStr">
        <is>
          <t>AC-3</t>
        </is>
      </c>
      <c r="F37" t="inlineStr">
        <is>
          <t>PB-2 (Medium)</t>
        </is>
      </c>
    </row>
    <row r="38">
      <c r="A38" t="inlineStr">
        <is>
          <t>2026-04-09</t>
        </is>
      </c>
      <c r="B38" t="inlineStr">
        <is>
          <t>2026-0409-007</t>
        </is>
      </c>
      <c r="C38" t="inlineStr">
        <is>
          <t>Axios NPM Supply Chain — Google Attributes to DPRK UNC1069</t>
        </is>
      </c>
      <c r="D38" t="inlineStr">
        <is>
          <t>SA</t>
        </is>
      </c>
      <c r="E38" t="inlineStr">
        <is>
          <t>SA-12</t>
        </is>
      </c>
      <c r="F38" t="inlineStr">
        <is>
          <t>PB-3 (High)</t>
        </is>
      </c>
    </row>
    <row r="39">
      <c r="A39" t="inlineStr">
        <is>
          <t>2026-04-09</t>
        </is>
      </c>
      <c r="B39" t="inlineStr">
        <is>
          <t>2026-0409-008</t>
        </is>
      </c>
      <c r="C39" t="inlineStr">
        <is>
          <t>Mercor AI $10B Breach — 4TB Data via LiteLLM (Lapsus$ / TeamPCP)</t>
        </is>
      </c>
      <c r="D39" t="inlineStr">
        <is>
          <t>SA</t>
        </is>
      </c>
      <c r="E39" t="inlineStr">
        <is>
          <t>SA-12</t>
        </is>
      </c>
      <c r="F39" t="inlineStr">
        <is>
          <t>PB-3 (High)</t>
        </is>
      </c>
    </row>
    <row r="40">
      <c r="A40" t="inlineStr">
        <is>
          <t>2026-04-09</t>
        </is>
      </c>
      <c r="B40" t="inlineStr">
        <is>
          <t>2026-0409-009</t>
        </is>
      </c>
      <c r="C40" t="inlineStr">
        <is>
          <t>Trivy Scanner Compromise + Anthropic Source Code Leak (10-Day Wave)</t>
        </is>
      </c>
      <c r="D40" t="inlineStr">
        <is>
          <t>SA</t>
        </is>
      </c>
      <c r="E40" t="inlineStr">
        <is>
          <t>SA-12</t>
        </is>
      </c>
      <c r="F40" t="inlineStr">
        <is>
          <t>PB-2 (Medium)</t>
        </is>
      </c>
    </row>
    <row r="41">
      <c r="A41" t="inlineStr">
        <is>
          <t>2026-04-09</t>
        </is>
      </c>
      <c r="B41" t="inlineStr">
        <is>
          <t>2026-0409-010</t>
        </is>
      </c>
      <c r="C41" t="inlineStr">
        <is>
          <t>Fortinet CVE-2026-35616 Patched — Pre-Auth RCE (CVSS 9.1, CISA KEV)</t>
        </is>
      </c>
      <c r="D41" t="inlineStr">
        <is>
          <t>SI</t>
        </is>
      </c>
      <c r="E41" t="inlineStr">
        <is>
          <t>SI-2</t>
        </is>
      </c>
      <c r="F41" t="inlineStr">
        <is>
          <t>PB-2 (Medium)</t>
        </is>
      </c>
    </row>
    <row r="42">
      <c r="A42" t="inlineStr">
        <is>
          <t>2026-04-09</t>
        </is>
      </c>
      <c r="B42" t="inlineStr">
        <is>
          <t>2026-0409-011</t>
        </is>
      </c>
      <c r="C42" t="inlineStr">
        <is>
          <t>Chrome Zero-Day CVE-2026-5281 — Use-After-Free in Dawn (4th in 2026)</t>
        </is>
      </c>
      <c r="D42" t="inlineStr">
        <is>
          <t>SI</t>
        </is>
      </c>
      <c r="E42" t="inlineStr">
        <is>
          <t>SI-2</t>
        </is>
      </c>
      <c r="F42" t="inlineStr">
        <is>
          <t>PB-2 (Medium)</t>
        </is>
      </c>
    </row>
    <row r="43">
      <c r="A43" t="inlineStr">
        <is>
          <t>2026-04-09</t>
        </is>
      </c>
      <c r="B43" t="inlineStr">
        <is>
          <t>2026-0409-012</t>
        </is>
      </c>
      <c r="C43" t="inlineStr">
        <is>
          <t>TrueConf Zero-Day CVE-2026-3502 — Tampered Update RCE (SE Asian Govts)</t>
        </is>
      </c>
      <c r="D43" t="inlineStr">
        <is>
          <t>SI</t>
        </is>
      </c>
      <c r="E43" t="inlineStr">
        <is>
          <t>SI-7</t>
        </is>
      </c>
      <c r="F43" t="inlineStr">
        <is>
          <t>PB-2 (Medium)</t>
        </is>
      </c>
    </row>
    <row r="44">
      <c r="A44" t="inlineStr">
        <is>
          <t>2026-04-09</t>
        </is>
      </c>
      <c r="B44" t="inlineStr">
        <is>
          <t>2026-0409-013</t>
        </is>
      </c>
      <c r="C44" t="inlineStr">
        <is>
          <t>CareCloud Healthcare Breach — EHR Compromised, 8-Hour Outage</t>
        </is>
      </c>
      <c r="D44" t="inlineStr">
        <is>
          <t>IR</t>
        </is>
      </c>
      <c r="E44" t="inlineStr">
        <is>
          <t>IR-4</t>
        </is>
      </c>
      <c r="F44" t="inlineStr">
        <is>
          <t>PB-2 (Medium)</t>
        </is>
      </c>
    </row>
    <row r="45">
      <c r="A45" t="inlineStr">
        <is>
          <t>2026-04-09</t>
        </is>
      </c>
      <c r="B45" t="inlineStr">
        <is>
          <t>2026-0409-014</t>
        </is>
      </c>
      <c r="C45" t="inlineStr">
        <is>
          <t>DragonForce Ransomware — AT Packaging Breach (April 7, 2026)</t>
        </is>
      </c>
      <c r="D45" t="inlineStr">
        <is>
          <t>IR</t>
        </is>
      </c>
      <c r="E45" t="inlineStr">
        <is>
          <t>IR-4</t>
        </is>
      </c>
      <c r="F45" t="inlineStr">
        <is>
          <t>PB-2 (Medium)</t>
        </is>
      </c>
    </row>
    <row r="46">
      <c r="A46" t="inlineStr">
        <is>
          <t>2026-04-09</t>
        </is>
      </c>
      <c r="B46" t="inlineStr">
        <is>
          <t>2026-0409-015</t>
        </is>
      </c>
      <c r="C46" t="inlineStr">
        <is>
          <t>April 2026 Ransomware Surge — 168 Victims / 43 Countries (Week 1)</t>
        </is>
      </c>
      <c r="D46" t="inlineStr">
        <is>
          <t>IR</t>
        </is>
      </c>
      <c r="E46" t="inlineStr">
        <is>
          <t>IR-4</t>
        </is>
      </c>
      <c r="F46" t="inlineStr">
        <is>
          <t>PB-2 (Medium)</t>
        </is>
      </c>
    </row>
    <row r="47">
      <c r="A47" t="inlineStr">
        <is>
          <t>2026-04-09</t>
        </is>
      </c>
      <c r="B47" t="inlineStr">
        <is>
          <t>2026-0409-016</t>
        </is>
      </c>
      <c r="C47" t="inlineStr">
        <is>
          <t>NIST CAISI: AI Agent Red-Teaming Competition Insights</t>
        </is>
      </c>
      <c r="D47" t="inlineStr">
        <is>
          <t>CA</t>
        </is>
      </c>
      <c r="E47" t="inlineStr">
        <is>
          <t>CA-8</t>
        </is>
      </c>
      <c r="F47" t="inlineStr">
        <is>
          <t>PB-3</t>
        </is>
      </c>
    </row>
    <row r="48">
      <c r="A48" t="inlineStr">
        <is>
          <t>2026-04-09</t>
        </is>
      </c>
      <c r="B48" t="inlineStr">
        <is>
          <t>2026-0409-017</t>
        </is>
      </c>
      <c r="C48" t="inlineStr">
        <is>
          <t>OWASP MCP Top 10 Published — Security Standard for MCP</t>
        </is>
      </c>
      <c r="D48" t="inlineStr">
        <is>
          <t>PL</t>
        </is>
      </c>
      <c r="E48" t="inlineStr">
        <is>
          <t>PL-2</t>
        </is>
      </c>
      <c r="F48" t="inlineStr">
        <is>
          <t>PB-3</t>
        </is>
      </c>
    </row>
    <row r="49">
      <c r="A49" t="inlineStr">
        <is>
          <t>2026-04-09</t>
        </is>
      </c>
      <c r="B49" t="inlineStr">
        <is>
          <t>2026-0409-018</t>
        </is>
      </c>
      <c r="C49" t="inlineStr">
        <is>
          <t>Votal AI RLHF Adversarial Attacker Model Launch (RSA 2026)</t>
        </is>
      </c>
      <c r="D49" t="inlineStr">
        <is>
          <t>CA</t>
        </is>
      </c>
      <c r="E49" t="inlineStr">
        <is>
          <t>CA-8</t>
        </is>
      </c>
      <c r="F49" t="inlineStr">
        <is>
          <t>PB-3</t>
        </is>
      </c>
    </row>
    <row r="50">
      <c r="A50" t="inlineStr">
        <is>
          <t>2026-04-10</t>
        </is>
      </c>
      <c r="B50" t="inlineStr">
        <is>
          <t>2026-0410-001</t>
        </is>
      </c>
      <c r="C50" t="inlineStr">
        <is>
          <t>Claude Mythos Preview — AI-Powered Zero-Day Discovery at Scale</t>
        </is>
      </c>
      <c r="E50" t="inlineStr">
        <is>
          <t>CA-8</t>
        </is>
      </c>
      <c r="F50" t="inlineStr">
        <is>
          <t>PB-3</t>
        </is>
      </c>
    </row>
    <row r="51">
      <c r="A51" t="inlineStr">
        <is>
          <t>2026-04-10</t>
        </is>
      </c>
      <c r="B51" t="inlineStr">
        <is>
          <t>2026-0410-002</t>
        </is>
      </c>
      <c r="C51" t="inlineStr">
        <is>
          <t>Prompt Injection Surge — 340% Increase in 2026, 88% Success Rate</t>
        </is>
      </c>
      <c r="E51" t="inlineStr">
        <is>
          <t>SI-10</t>
        </is>
      </c>
      <c r="F51" t="inlineStr">
        <is>
          <t>PB-3</t>
        </is>
      </c>
    </row>
    <row r="52">
      <c r="A52" t="inlineStr">
        <is>
          <t>2026-04-10</t>
        </is>
      </c>
      <c r="B52" t="inlineStr">
        <is>
          <t>2026-0410-003</t>
        </is>
      </c>
      <c r="C52" t="inlineStr">
        <is>
          <t>MCP Defense-Placement Taxonomy (arXiv:2604.07551)</t>
        </is>
      </c>
      <c r="E52" t="inlineStr">
        <is>
          <t>SA-12</t>
        </is>
      </c>
      <c r="F52" t="inlineStr">
        <is>
          <t>PB-3</t>
        </is>
      </c>
    </row>
    <row r="53">
      <c r="A53" t="inlineStr">
        <is>
          <t>2026-04-10</t>
        </is>
      </c>
      <c r="B53" t="inlineStr">
        <is>
          <t>2026-0410-004</t>
        </is>
      </c>
      <c r="C53" t="inlineStr">
        <is>
          <t>Agentic AI #1 Attack Vector — 70% Enterprise Incident Rate</t>
        </is>
      </c>
      <c r="E53" t="inlineStr">
        <is>
          <t>PL-2</t>
        </is>
      </c>
      <c r="F53" t="inlineStr">
        <is>
          <t>PB-3</t>
        </is>
      </c>
    </row>
    <row r="54">
      <c r="A54" t="inlineStr">
        <is>
          <t>2026-04-10</t>
        </is>
      </c>
      <c r="B54" t="inlineStr">
        <is>
          <t>2026-0410-005</t>
        </is>
      </c>
      <c r="C54" t="inlineStr">
        <is>
          <t>MCP Server Supply Chain — 67,057 Servers Audited, Widespread Hijackability</t>
        </is>
      </c>
      <c r="E54" t="inlineStr">
        <is>
          <t>SA-12</t>
        </is>
      </c>
      <c r="F54" t="inlineStr">
        <is>
          <t>PB-3</t>
        </is>
      </c>
    </row>
    <row r="55">
      <c r="A55" t="inlineStr">
        <is>
          <t>2026-04-10</t>
        </is>
      </c>
      <c r="B55" t="inlineStr">
        <is>
          <t>2026-0410-006</t>
        </is>
      </c>
      <c r="C55" t="inlineStr">
        <is>
          <t>LLM Security Risk Landscape 2026 — Shadow AI, RAG, and Memory Attacks</t>
        </is>
      </c>
      <c r="E55" t="inlineStr">
        <is>
          <t>SI-7</t>
        </is>
      </c>
      <c r="F55" t="inlineStr">
        <is>
          <t>PB-3</t>
        </is>
      </c>
    </row>
    <row r="56">
      <c r="A56" t="inlineStr">
        <is>
          <t>2026-04-10</t>
        </is>
      </c>
      <c r="B56" t="inlineStr">
        <is>
          <t>2026-0410-007</t>
        </is>
      </c>
      <c r="C56" t="inlineStr">
        <is>
          <t>Trivy Supply Chain Attack — European Commission 300GB Breach via TeamPCP</t>
        </is>
      </c>
      <c r="E56" t="inlineStr">
        <is>
          <t>SA-12</t>
        </is>
      </c>
      <c r="F56" t="inlineStr">
        <is>
          <t>PB-3</t>
        </is>
      </c>
    </row>
    <row r="57">
      <c r="A57" t="inlineStr">
        <is>
          <t>2026-04-10</t>
        </is>
      </c>
      <c r="B57" t="inlineStr">
        <is>
          <t>2026-0410-008</t>
        </is>
      </c>
      <c r="C57" t="inlineStr">
        <is>
          <t>Axios NPM + LiteLLM + Trivy — Cascading Supply Chain Wave Continues</t>
        </is>
      </c>
      <c r="E57" t="inlineStr">
        <is>
          <t>SA-12</t>
        </is>
      </c>
      <c r="F57" t="inlineStr">
        <is>
          <t>PB-3</t>
        </is>
      </c>
    </row>
    <row r="58">
      <c r="A58" t="inlineStr">
        <is>
          <t>2026-04-10</t>
        </is>
      </c>
      <c r="B58" t="inlineStr">
        <is>
          <t>2026-0410-009</t>
        </is>
      </c>
      <c r="C58" t="inlineStr">
        <is>
          <t>Mercor AI $10B Breach — 4TB Exfiltrated, Class Action Filed</t>
        </is>
      </c>
      <c r="E58" t="inlineStr">
        <is>
          <t>SA-12</t>
        </is>
      </c>
      <c r="F58" t="inlineStr">
        <is>
          <t>PB-3</t>
        </is>
      </c>
    </row>
    <row r="59">
      <c r="A59" t="inlineStr">
        <is>
          <t>2026-04-10</t>
        </is>
      </c>
      <c r="B59" t="inlineStr">
        <is>
          <t>2026-0410-010</t>
        </is>
      </c>
      <c r="C59" t="inlineStr">
        <is>
          <t>Fortinet FortiClient EMS CVE-2026-35616 — Pre-Auth RCE (CVSS 9.8)</t>
        </is>
      </c>
      <c r="E59" t="inlineStr">
        <is>
          <t>SI-2</t>
        </is>
      </c>
      <c r="F59" t="inlineStr">
        <is>
          <t>PB-3</t>
        </is>
      </c>
    </row>
    <row r="60">
      <c r="A60" t="inlineStr">
        <is>
          <t>2026-04-10</t>
        </is>
      </c>
      <c r="B60" t="inlineStr">
        <is>
          <t>2026-0410-011</t>
        </is>
      </c>
      <c r="C60" t="inlineStr">
        <is>
          <t>Chrome Zero-Day CVE-2026-5281 + CVE-2026-2441 — 4th &amp; 5th Exploited in 2026</t>
        </is>
      </c>
      <c r="E60" t="inlineStr">
        <is>
          <t>SI-2</t>
        </is>
      </c>
      <c r="F60" t="inlineStr">
        <is>
          <t>PB-3</t>
        </is>
      </c>
    </row>
    <row r="61">
      <c r="A61" t="inlineStr">
        <is>
          <t>2026-04-10</t>
        </is>
      </c>
      <c r="B61" t="inlineStr">
        <is>
          <t>2026-0410-012</t>
        </is>
      </c>
      <c r="C61" t="inlineStr">
        <is>
          <t>TrueConf CVE-2026-3502 — SE Asian Government Network Espionage</t>
        </is>
      </c>
      <c r="E61" t="inlineStr">
        <is>
          <t>SI-7</t>
        </is>
      </c>
      <c r="F61" t="inlineStr">
        <is>
          <t>PB-3</t>
        </is>
      </c>
    </row>
    <row r="62">
      <c r="A62" t="inlineStr">
        <is>
          <t>2026-04-10</t>
        </is>
      </c>
      <c r="B62" t="inlineStr">
        <is>
          <t>2026-0410-013</t>
        </is>
      </c>
      <c r="C62" t="inlineStr">
        <is>
          <t>Healthcare Breach Cluster — CareCloud, ChipSoft, Interlock (3 in 10 Days)</t>
        </is>
      </c>
      <c r="E62" t="inlineStr">
        <is>
          <t>IR-4</t>
        </is>
      </c>
      <c r="F62" t="inlineStr">
        <is>
          <t>PB-3</t>
        </is>
      </c>
    </row>
    <row r="63">
      <c r="A63" t="inlineStr">
        <is>
          <t>2026-04-10</t>
        </is>
      </c>
      <c r="B63" t="inlineStr">
        <is>
          <t>2026-0410-014</t>
        </is>
      </c>
      <c r="C63" t="inlineStr">
        <is>
          <t>April 2026 Ransomware Acceleration — 168 Victims, 43 Countries, Week 1</t>
        </is>
      </c>
      <c r="E63" t="inlineStr">
        <is>
          <t>IR-4</t>
        </is>
      </c>
      <c r="F63" t="inlineStr">
        <is>
          <t>PB-3</t>
        </is>
      </c>
    </row>
    <row r="64">
      <c r="A64" t="inlineStr">
        <is>
          <t>2026-04-10</t>
        </is>
      </c>
      <c r="B64" t="inlineStr">
        <is>
          <t>2026-0410-015</t>
        </is>
      </c>
      <c r="C64" t="inlineStr">
        <is>
          <t>Adobe 13M Support Ticket &amp; Bug Bounty Data Breach</t>
        </is>
      </c>
      <c r="E64" t="inlineStr">
        <is>
          <t>IR-4</t>
        </is>
      </c>
      <c r="F64" t="inlineStr">
        <is>
          <t>PB-3</t>
        </is>
      </c>
    </row>
    <row r="65">
      <c r="A65" t="inlineStr">
        <is>
          <t>2026-04-10</t>
        </is>
      </c>
      <c r="B65" t="inlineStr">
        <is>
          <t>2026-0410-016</t>
        </is>
      </c>
      <c r="C65" t="inlineStr">
        <is>
          <t>NIST AI Red Teaming Protocol Standardization for Health AI</t>
        </is>
      </c>
      <c r="E65" t="inlineStr">
        <is>
          <t>CA-8</t>
        </is>
      </c>
      <c r="F65" t="inlineStr">
        <is>
          <t>PB-3</t>
        </is>
      </c>
    </row>
    <row r="66">
      <c r="A66" t="inlineStr">
        <is>
          <t>2026-04-10</t>
        </is>
      </c>
      <c r="B66" t="inlineStr">
        <is>
          <t>2026-0410-017</t>
        </is>
      </c>
      <c r="C66" t="inlineStr">
        <is>
          <t>OWASP GenAI Red Teaming Guide v2.0 &amp; LLM Security Guide Updates</t>
        </is>
      </c>
      <c r="E66" t="inlineStr">
        <is>
          <t>CA-8</t>
        </is>
      </c>
      <c r="F66" t="inlineStr">
        <is>
          <t>PB-3</t>
        </is>
      </c>
    </row>
    <row r="67">
      <c r="A67" t="inlineStr">
        <is>
          <t>2026-04-13</t>
        </is>
      </c>
      <c r="B67" t="inlineStr">
        <is>
          <t>2026-0413-001</t>
        </is>
      </c>
      <c r="C67" t="inlineStr">
        <is>
          <t>CVE-2026-23744 — MCPJam Inspector RCE (CVSS 9.8)</t>
        </is>
      </c>
      <c r="D67" t="inlineStr">
        <is>
          <t>System and Information Integrity</t>
        </is>
      </c>
      <c r="E67" t="inlineStr">
        <is>
          <t>SI-2</t>
        </is>
      </c>
      <c r="F67" t="inlineStr">
        <is>
          <t>PB-4</t>
        </is>
      </c>
    </row>
    <row r="68">
      <c r="A68" t="inlineStr">
        <is>
          <t>2026-04-13</t>
        </is>
      </c>
      <c r="B68" t="inlineStr">
        <is>
          <t>2026-0413-002</t>
        </is>
      </c>
      <c r="C68" t="inlineStr">
        <is>
          <t>GitHub MCP Integration Agent Hijack via Malicious Issues</t>
        </is>
      </c>
      <c r="D68" t="inlineStr">
        <is>
          <t>System and Information Integrity</t>
        </is>
      </c>
      <c r="E68" t="inlineStr">
        <is>
          <t>SI-10</t>
        </is>
      </c>
      <c r="F68" t="inlineStr">
        <is>
          <t>PB-4</t>
        </is>
      </c>
    </row>
    <row r="69">
      <c r="A69" t="inlineStr">
        <is>
          <t>2026-04-13</t>
        </is>
      </c>
      <c r="B69" t="inlineStr">
        <is>
          <t>2026-0413-003</t>
        </is>
      </c>
      <c r="C69" t="inlineStr">
        <is>
          <t>OWASP Top 10 for Agentic Applications 2026 — New Autonomous Risks</t>
        </is>
      </c>
      <c r="D69" t="inlineStr">
        <is>
          <t>Planning</t>
        </is>
      </c>
      <c r="E69" t="inlineStr">
        <is>
          <t>PL-2</t>
        </is>
      </c>
      <c r="F69" t="inlineStr">
        <is>
          <t>PB-3</t>
        </is>
      </c>
    </row>
    <row r="70">
      <c r="A70" t="inlineStr">
        <is>
          <t>2026-04-13</t>
        </is>
      </c>
      <c r="B70" t="inlineStr">
        <is>
          <t>2026-0413-004</t>
        </is>
      </c>
      <c r="C70" t="inlineStr">
        <is>
          <t>LLMjacking Campaign Escalation — Exposed Endpoint Hijacking at Scale</t>
        </is>
      </c>
      <c r="D70" t="inlineStr">
        <is>
          <t>Access Control</t>
        </is>
      </c>
      <c r="E70" t="inlineStr">
        <is>
          <t>AC-3</t>
        </is>
      </c>
      <c r="F70" t="inlineStr">
        <is>
          <t>PB-3</t>
        </is>
      </c>
    </row>
    <row r="71">
      <c r="A71" t="inlineStr">
        <is>
          <t>2026-04-13</t>
        </is>
      </c>
      <c r="B71" t="inlineStr">
        <is>
          <t>2026-0413-005</t>
        </is>
      </c>
      <c r="C71" t="inlineStr">
        <is>
          <t>AI Agent 'Lethal Trifecta' — Privileged Access + Untrusted Input + Public Output</t>
        </is>
      </c>
      <c r="D71" t="inlineStr">
        <is>
          <t>Access Control</t>
        </is>
      </c>
      <c r="E71" t="inlineStr">
        <is>
          <t>AC-3</t>
        </is>
      </c>
      <c r="F71" t="inlineStr">
        <is>
          <t>PB-3</t>
        </is>
      </c>
    </row>
    <row r="72">
      <c r="A72" t="inlineStr">
        <is>
          <t>2026-04-13</t>
        </is>
      </c>
      <c r="B72" t="inlineStr">
        <is>
          <t>2026-0413-006</t>
        </is>
      </c>
      <c r="C72" t="inlineStr">
        <is>
          <t>Shadow AI Now #1 Enterprise Data Leakage Vector in 2026</t>
        </is>
      </c>
      <c r="D72" t="inlineStr">
        <is>
          <t>Configuration Management</t>
        </is>
      </c>
      <c r="E72" t="inlineStr">
        <is>
          <t>CM-8</t>
        </is>
      </c>
      <c r="F72" t="inlineStr">
        <is>
          <t>PB-3</t>
        </is>
      </c>
    </row>
    <row r="73">
      <c r="A73" t="inlineStr">
        <is>
          <t>2026-04-13</t>
        </is>
      </c>
      <c r="B73" t="inlineStr">
        <is>
          <t>2026-0413-007</t>
        </is>
      </c>
      <c r="C73" t="inlineStr">
        <is>
          <t>TeamPCP / Lapsus$ Supply Chain Wave — Hundreds of Thousands of Stolen Secrets</t>
        </is>
      </c>
      <c r="D73" t="inlineStr">
        <is>
          <t>System and Services Acquisition</t>
        </is>
      </c>
      <c r="E73" t="inlineStr">
        <is>
          <t>SA-12</t>
        </is>
      </c>
      <c r="F73" t="inlineStr">
        <is>
          <t>PB-4</t>
        </is>
      </c>
    </row>
    <row r="74">
      <c r="A74" t="inlineStr">
        <is>
          <t>2026-04-13</t>
        </is>
      </c>
      <c r="B74" t="inlineStr">
        <is>
          <t>2026-0413-008</t>
        </is>
      </c>
      <c r="C74" t="inlineStr">
        <is>
          <t>Open Source Malware Up 73% — AI Development Pipelines Targeted</t>
        </is>
      </c>
      <c r="D74" t="inlineStr">
        <is>
          <t>System and Services Acquisition</t>
        </is>
      </c>
      <c r="E74" t="inlineStr">
        <is>
          <t>SA-12</t>
        </is>
      </c>
      <c r="F74" t="inlineStr">
        <is>
          <t>PB-3</t>
        </is>
      </c>
    </row>
    <row r="75">
      <c r="A75" t="inlineStr">
        <is>
          <t>2026-04-13</t>
        </is>
      </c>
      <c r="B75" t="inlineStr">
        <is>
          <t>2026-0413-009</t>
        </is>
      </c>
      <c r="C75" t="inlineStr">
        <is>
          <t>European Commission Trivy Breach — CERT-EU Confirms Initial Access Vector</t>
        </is>
      </c>
      <c r="D75" t="inlineStr">
        <is>
          <t>System and Services Acquisition</t>
        </is>
      </c>
      <c r="E75" t="inlineStr">
        <is>
          <t>SA-12</t>
        </is>
      </c>
      <c r="F75" t="inlineStr">
        <is>
          <t>PB-4</t>
        </is>
      </c>
    </row>
    <row r="76">
      <c r="A76" t="inlineStr">
        <is>
          <t>2026-04-13</t>
        </is>
      </c>
      <c r="B76" t="inlineStr">
        <is>
          <t>2026-0413-010</t>
        </is>
      </c>
      <c r="C76" t="inlineStr">
        <is>
          <t>Drift Protocol $285M Heist — DPRK Social Engineering Campaign</t>
        </is>
      </c>
      <c r="D76" t="inlineStr">
        <is>
          <t>Incident Response</t>
        </is>
      </c>
      <c r="E76" t="inlineStr">
        <is>
          <t>IR-4</t>
        </is>
      </c>
      <c r="F76" t="inlineStr">
        <is>
          <t>PB-4</t>
        </is>
      </c>
    </row>
    <row r="77">
      <c r="A77" t="inlineStr">
        <is>
          <t>2026-04-13</t>
        </is>
      </c>
      <c r="B77" t="inlineStr">
        <is>
          <t>2026-0413-011</t>
        </is>
      </c>
      <c r="C77" t="inlineStr">
        <is>
          <t>CPUID Website Compromise — CPU-Z &amp; HWMonitor Download Hijack</t>
        </is>
      </c>
      <c r="D77" t="inlineStr">
        <is>
          <t>System and Information Integrity</t>
        </is>
      </c>
      <c r="E77" t="inlineStr">
        <is>
          <t>SI-7</t>
        </is>
      </c>
      <c r="F77" t="inlineStr">
        <is>
          <t>PB-3</t>
        </is>
      </c>
    </row>
    <row r="78">
      <c r="A78" t="inlineStr">
        <is>
          <t>2026-04-13</t>
        </is>
      </c>
      <c r="B78" t="inlineStr">
        <is>
          <t>2026-0413-012</t>
        </is>
      </c>
      <c r="C78" t="inlineStr">
        <is>
          <t>Gritman Medical Ransomware — Multi-Clinic Outage Across Idaho</t>
        </is>
      </c>
      <c r="D78" t="inlineStr">
        <is>
          <t>Incident Response</t>
        </is>
      </c>
      <c r="E78" t="inlineStr">
        <is>
          <t>IR-4</t>
        </is>
      </c>
      <c r="F78" t="inlineStr">
        <is>
          <t>PB-3</t>
        </is>
      </c>
    </row>
    <row r="79">
      <c r="A79" t="inlineStr">
        <is>
          <t>2026-04-13</t>
        </is>
      </c>
      <c r="B79" t="inlineStr">
        <is>
          <t>2026-0413-013</t>
        </is>
      </c>
      <c r="C79" t="inlineStr">
        <is>
          <t>Hasbro IT Systems Breached — Data Stolen, Operations Disrupted</t>
        </is>
      </c>
      <c r="D79" t="inlineStr">
        <is>
          <t>Incident Response</t>
        </is>
      </c>
      <c r="E79" t="inlineStr">
        <is>
          <t>IR-4</t>
        </is>
      </c>
      <c r="F79" t="inlineStr">
        <is>
          <t>PB-3</t>
        </is>
      </c>
    </row>
    <row r="80">
      <c r="A80" t="inlineStr">
        <is>
          <t>2026-04-13</t>
        </is>
      </c>
      <c r="B80" t="inlineStr">
        <is>
          <t>2026-0413-014</t>
        </is>
      </c>
      <c r="C80" t="inlineStr">
        <is>
          <t>Handala Ransomware Group Surge — 23+ Victims, Multi-Sector Acceleration</t>
        </is>
      </c>
      <c r="D80" t="inlineStr">
        <is>
          <t>Incident Response</t>
        </is>
      </c>
      <c r="E80" t="inlineStr">
        <is>
          <t>IR-4</t>
        </is>
      </c>
      <c r="F80" t="inlineStr">
        <is>
          <t>PB-3</t>
        </is>
      </c>
    </row>
    <row r="81">
      <c r="A81" t="inlineStr">
        <is>
          <t>2026-04-13</t>
        </is>
      </c>
      <c r="B81" t="inlineStr">
        <is>
          <t>2026-0413-015</t>
        </is>
      </c>
      <c r="C81" t="inlineStr">
        <is>
          <t>Hong Kong Hospital Authority Patient Data Leak on Third-Party Platform</t>
        </is>
      </c>
      <c r="D81" t="inlineStr">
        <is>
          <t>Incident Response</t>
        </is>
      </c>
      <c r="E81" t="inlineStr">
        <is>
          <t>IR-4</t>
        </is>
      </c>
      <c r="F81" t="inlineStr">
        <is>
          <t>PB-3</t>
        </is>
      </c>
    </row>
    <row r="82">
      <c r="A82" t="inlineStr">
        <is>
          <t>2026-04-13</t>
        </is>
      </c>
      <c r="B82" t="inlineStr">
        <is>
          <t>2026-0413-016</t>
        </is>
      </c>
      <c r="C82" t="inlineStr">
        <is>
          <t>AI Security Solutions Landscape Q2 2026 — OWASP GenAI Project</t>
        </is>
      </c>
      <c r="D82" t="inlineStr">
        <is>
          <t>Assessment, Authorization, and Monitoring</t>
        </is>
      </c>
      <c r="E82" t="inlineStr">
        <is>
          <t>CA-8</t>
        </is>
      </c>
      <c r="F82" t="inlineStr">
        <is>
          <t>PB-3</t>
        </is>
      </c>
    </row>
    <row r="83">
      <c r="A83" t="inlineStr">
        <is>
          <t>2026-04-13</t>
        </is>
      </c>
      <c r="B83" t="inlineStr">
        <is>
          <t>2026-0413-017</t>
        </is>
      </c>
      <c r="C83" t="inlineStr">
        <is>
          <t>Prompt Injection in Agentic Coding Assistants — Systematic Vulnerability Analysis (arXiv)</t>
        </is>
      </c>
      <c r="D83" t="inlineStr">
        <is>
          <t>Assessment, Authorization, and Monitoring</t>
        </is>
      </c>
      <c r="E83" t="inlineStr">
        <is>
          <t>CA-8</t>
        </is>
      </c>
      <c r="F83" t="inlineStr">
        <is>
          <t>PB-3</t>
        </is>
      </c>
    </row>
    <row r="84">
      <c r="A84" t="inlineStr">
        <is>
          <t>2026-04-14</t>
        </is>
      </c>
      <c r="B84" t="inlineStr">
        <is>
          <t>2026-0414-001</t>
        </is>
      </c>
      <c r="C84" t="inlineStr">
        <is>
          <t>DNS Tunneling Channel Discovered in ChatGPT Code Sandbox — Covert Data Exfiltration</t>
        </is>
      </c>
      <c r="D84" t="inlineStr">
        <is>
          <t>System and Communications Protection</t>
        </is>
      </c>
      <c r="E84" t="inlineStr">
        <is>
          <t>SC-7</t>
        </is>
      </c>
      <c r="F84" t="inlineStr">
        <is>
          <t>PB-1</t>
        </is>
      </c>
    </row>
    <row r="85">
      <c r="A85" t="inlineStr">
        <is>
          <t>2026-04-14</t>
        </is>
      </c>
      <c r="B85" t="inlineStr">
        <is>
          <t>2026-0414-002</t>
        </is>
      </c>
      <c r="C85" t="inlineStr">
        <is>
          <t>Memory Poisoning in LLM Agents — 90%+ Attack Success Against GPT-5 mini &amp; Claude Sonnet 4.5</t>
        </is>
      </c>
      <c r="D85" t="inlineStr">
        <is>
          <t>System and Information Integrity</t>
        </is>
      </c>
      <c r="E85" t="inlineStr">
        <is>
          <t>SI-7</t>
        </is>
      </c>
      <c r="F85" t="inlineStr">
        <is>
          <t>PB-1</t>
        </is>
      </c>
    </row>
    <row r="86">
      <c r="A86" t="inlineStr">
        <is>
          <t>2026-04-14</t>
        </is>
      </c>
      <c r="B86" t="inlineStr">
        <is>
          <t>2026-0414-003</t>
        </is>
      </c>
      <c r="C86" t="inlineStr">
        <is>
          <t>Anthropic Mythos Preview Restricted After Autonomous Zero-Day Discovery Across Major Systems</t>
        </is>
      </c>
      <c r="D86" t="inlineStr">
        <is>
          <t>Planning</t>
        </is>
      </c>
      <c r="E86" t="inlineStr">
        <is>
          <t>PL-2</t>
        </is>
      </c>
      <c r="F86" t="inlineStr">
        <is>
          <t>PB-2</t>
        </is>
      </c>
    </row>
    <row r="87">
      <c r="A87" t="inlineStr">
        <is>
          <t>2026-04-14</t>
        </is>
      </c>
      <c r="B87" t="inlineStr">
        <is>
          <t>2026-0414-004</t>
        </is>
      </c>
      <c r="C87" t="inlineStr">
        <is>
          <t>MCP Cross-Client Data Leak CVE-2026-25536 — StreamableHTTP Transport Boundary Failure</t>
        </is>
      </c>
      <c r="D87" t="inlineStr">
        <is>
          <t>System and Communications Protection</t>
        </is>
      </c>
      <c r="E87" t="inlineStr">
        <is>
          <t>SC-7</t>
        </is>
      </c>
      <c r="F87" t="inlineStr">
        <is>
          <t>PB-2</t>
        </is>
      </c>
    </row>
    <row r="88">
      <c r="A88" t="inlineStr">
        <is>
          <t>2026-04-14</t>
        </is>
      </c>
      <c r="B88" t="inlineStr">
        <is>
          <t>2026-0414-005</t>
        </is>
      </c>
      <c r="C88" t="inlineStr">
        <is>
          <t>Cascading Prompt Injection in Multi-Agent Pipelines — Cross-Layer Propagation Attacks</t>
        </is>
      </c>
      <c r="D88" t="inlineStr">
        <is>
          <t>System and Information Integrity</t>
        </is>
      </c>
      <c r="E88" t="inlineStr">
        <is>
          <t>SI-10</t>
        </is>
      </c>
      <c r="F88" t="inlineStr">
        <is>
          <t>PB-2</t>
        </is>
      </c>
    </row>
    <row r="89">
      <c r="A89" t="inlineStr">
        <is>
          <t>2026-04-14</t>
        </is>
      </c>
      <c r="B89" t="inlineStr">
        <is>
          <t>2026-0414-006</t>
        </is>
      </c>
      <c r="C89" t="inlineStr">
        <is>
          <t>OpenAI Concedes Prompt Injection 'Unlikely to Ever Be Fully Solved'</t>
        </is>
      </c>
      <c r="D89" t="inlineStr">
        <is>
          <t>Planning</t>
        </is>
      </c>
      <c r="E89" t="inlineStr">
        <is>
          <t>PL-2</t>
        </is>
      </c>
      <c r="F89" t="inlineStr">
        <is>
          <t>PB-2</t>
        </is>
      </c>
    </row>
    <row r="90">
      <c r="A90" t="inlineStr">
        <is>
          <t>2026-04-14</t>
        </is>
      </c>
      <c r="B90" t="inlineStr">
        <is>
          <t>2026-0414-007</t>
        </is>
      </c>
      <c r="C90" t="inlineStr">
        <is>
          <t>Axios NPM Backdoor Still Active in Production — Vectra Detection Guidance Published</t>
        </is>
      </c>
      <c r="D90" t="inlineStr">
        <is>
          <t>System and Services Acquisition</t>
        </is>
      </c>
      <c r="E90" t="inlineStr">
        <is>
          <t>SA-12</t>
        </is>
      </c>
      <c r="F90" t="inlineStr">
        <is>
          <t>PB-1</t>
        </is>
      </c>
    </row>
    <row r="91">
      <c r="A91" t="inlineStr">
        <is>
          <t>2026-04-14</t>
        </is>
      </c>
      <c r="B91" t="inlineStr">
        <is>
          <t>2026-0414-008</t>
        </is>
      </c>
      <c r="C91" t="inlineStr">
        <is>
          <t>Claude Source Code Leak Exposes Systemic Supply Chain Oversight Gaps</t>
        </is>
      </c>
      <c r="D91" t="inlineStr">
        <is>
          <t>System and Services Acquisition</t>
        </is>
      </c>
      <c r="E91" t="inlineStr">
        <is>
          <t>SA-12</t>
        </is>
      </c>
      <c r="F91" t="inlineStr">
        <is>
          <t>PB-2</t>
        </is>
      </c>
    </row>
    <row r="92">
      <c r="A92" t="inlineStr">
        <is>
          <t>2026-04-14</t>
        </is>
      </c>
      <c r="B92" t="inlineStr">
        <is>
          <t>2026-0414-009</t>
        </is>
      </c>
      <c r="C92" t="inlineStr">
        <is>
          <t>Talos Intelligence 2026 Supply Chain Defense Report — Security Tools as Attack Vectors</t>
        </is>
      </c>
      <c r="D92" t="inlineStr">
        <is>
          <t>System and Services Acquisition</t>
        </is>
      </c>
      <c r="E92" t="inlineStr">
        <is>
          <t>SA-12</t>
        </is>
      </c>
      <c r="F92" t="inlineStr">
        <is>
          <t>PB-2</t>
        </is>
      </c>
    </row>
    <row r="93">
      <c r="A93" t="inlineStr">
        <is>
          <t>2026-04-14</t>
        </is>
      </c>
      <c r="B93" t="inlineStr">
        <is>
          <t>2026-0414-010</t>
        </is>
      </c>
      <c r="C93" t="inlineStr">
        <is>
          <t>Rockstar Games ShinyHunters Ransom Deadline Today — Cloud Infrastructure Data at Stake</t>
        </is>
      </c>
      <c r="D93" t="inlineStr">
        <is>
          <t>Incident Response</t>
        </is>
      </c>
      <c r="E93" t="inlineStr">
        <is>
          <t>IR-4</t>
        </is>
      </c>
      <c r="F93" t="inlineStr">
        <is>
          <t>PB-1</t>
        </is>
      </c>
    </row>
    <row r="94">
      <c r="A94" t="inlineStr">
        <is>
          <t>2026-04-14</t>
        </is>
      </c>
      <c r="B94" t="inlineStr">
        <is>
          <t>2026-0414-011</t>
        </is>
      </c>
      <c r="C94" t="inlineStr">
        <is>
          <t>Adobe Acrobat Reader CVE-2026-34621 — Emergency Patch for Active Exploitation (CVSS 8.6)</t>
        </is>
      </c>
      <c r="D94" t="inlineStr">
        <is>
          <t>System and Information Integrity</t>
        </is>
      </c>
      <c r="E94" t="inlineStr">
        <is>
          <t>SI-2</t>
        </is>
      </c>
      <c r="F94" t="inlineStr">
        <is>
          <t>PB-2</t>
        </is>
      </c>
    </row>
    <row r="95">
      <c r="A95" t="inlineStr">
        <is>
          <t>2026-04-14</t>
        </is>
      </c>
      <c r="B95" t="inlineStr">
        <is>
          <t>2026-0414-012</t>
        </is>
      </c>
      <c r="C95" t="inlineStr">
        <is>
          <t>Windows Zero-Day Exploit Leaked Ahead of April Patch Tuesday</t>
        </is>
      </c>
      <c r="D95" t="inlineStr">
        <is>
          <t>System and Information Integrity</t>
        </is>
      </c>
      <c r="E95" t="inlineStr">
        <is>
          <t>SI-2</t>
        </is>
      </c>
      <c r="F95" t="inlineStr">
        <is>
          <t>PB-2</t>
        </is>
      </c>
    </row>
    <row r="96">
      <c r="A96" t="inlineStr">
        <is>
          <t>2026-04-14</t>
        </is>
      </c>
      <c r="B96" t="inlineStr">
        <is>
          <t>2026-0414-013</t>
        </is>
      </c>
      <c r="C96" t="inlineStr">
        <is>
          <t>SongTrivia 2.9M Account Breach — Auth Tokens Passwords and PII Published</t>
        </is>
      </c>
      <c r="D96" t="inlineStr">
        <is>
          <t>Incident Response</t>
        </is>
      </c>
      <c r="E96" t="inlineStr">
        <is>
          <t>IR-4</t>
        </is>
      </c>
      <c r="F96" t="inlineStr">
        <is>
          <t>PB-2</t>
        </is>
      </c>
    </row>
    <row r="97">
      <c r="A97" t="inlineStr">
        <is>
          <t>2026-04-14</t>
        </is>
      </c>
      <c r="B97" t="inlineStr">
        <is>
          <t>2026-0414-014</t>
        </is>
      </c>
      <c r="C97" t="inlineStr">
        <is>
          <t>ComTec Systems Ransomware — IT Provider Breach Cascades to Downstream Clients</t>
        </is>
      </c>
      <c r="D97" t="inlineStr">
        <is>
          <t>Incident Response</t>
        </is>
      </c>
      <c r="E97" t="inlineStr">
        <is>
          <t>IR-4</t>
        </is>
      </c>
      <c r="F97" t="inlineStr">
        <is>
          <t>PB-2</t>
        </is>
      </c>
    </row>
    <row r="98">
      <c r="A98" t="inlineStr">
        <is>
          <t>2026-04-14</t>
        </is>
      </c>
      <c r="B98" t="inlineStr">
        <is>
          <t>2026-0414-015</t>
        </is>
      </c>
      <c r="C98" t="inlineStr">
        <is>
          <t>Bitdefender April 2026 Threat Debrief — AI-Augmented Attack Techniques Accelerating</t>
        </is>
      </c>
      <c r="D98" t="inlineStr">
        <is>
          <t>System and Information Integrity</t>
        </is>
      </c>
      <c r="E98" t="inlineStr">
        <is>
          <t>SI-4</t>
        </is>
      </c>
      <c r="F98" t="inlineStr">
        <is>
          <t>PB-2</t>
        </is>
      </c>
    </row>
    <row r="99">
      <c r="A99" t="inlineStr">
        <is>
          <t>2026-04-14</t>
        </is>
      </c>
      <c r="B99" t="inlineStr">
        <is>
          <t>2026-0414-016</t>
        </is>
      </c>
      <c r="C99" t="inlineStr">
        <is>
          <t>Vulnerable MCP Project Launches Comprehensive Security Database</t>
        </is>
      </c>
      <c r="D99" t="inlineStr">
        <is>
          <t>Risk Assessment</t>
        </is>
      </c>
      <c r="E99" t="inlineStr">
        <is>
          <t>RA-5</t>
        </is>
      </c>
      <c r="F99" t="inlineStr">
        <is>
          <t>PB-3</t>
        </is>
      </c>
    </row>
    <row r="100">
      <c r="A100" t="inlineStr">
        <is>
          <t>2026-04-14</t>
        </is>
      </c>
      <c r="B100" t="inlineStr">
        <is>
          <t>2026-0414-017</t>
        </is>
      </c>
      <c r="C100" t="inlineStr">
        <is>
          <t>MCP-DPT Defense-Placement Taxonomy Published (arXiv:2604.07551) — Coverage Gap Analysis</t>
        </is>
      </c>
      <c r="D100" t="inlineStr">
        <is>
          <t>System and Services Acquisition</t>
        </is>
      </c>
      <c r="E100" t="inlineStr">
        <is>
          <t>SA-12</t>
        </is>
      </c>
      <c r="F100" t="inlineStr">
        <is>
          <t>PB-3</t>
        </is>
      </c>
    </row>
    <row r="101">
      <c r="A101" t="inlineStr">
        <is>
          <t>2026-04-23</t>
        </is>
      </c>
      <c r="B101" t="inlineStr">
        <is>
          <t>2026-0423-001</t>
        </is>
      </c>
      <c r="C101" t="inlineStr">
        <is>
          <t>MCP / Toolchain RCE</t>
        </is>
      </c>
      <c r="E101" t="inlineStr">
        <is>
          <t>SA-12</t>
        </is>
      </c>
      <c r="F101" t="inlineStr">
        <is>
          <t>PB-3</t>
        </is>
      </c>
    </row>
    <row r="102">
      <c r="A102" t="inlineStr">
        <is>
          <t>2026-04-23</t>
        </is>
      </c>
      <c r="B102" t="inlineStr">
        <is>
          <t>2026-0423-002</t>
        </is>
      </c>
      <c r="C102" t="inlineStr">
        <is>
          <t>MCP / Toolchain RCE</t>
        </is>
      </c>
      <c r="E102" t="inlineStr">
        <is>
          <t>SI-10</t>
        </is>
      </c>
      <c r="F102" t="inlineStr">
        <is>
          <t>PB-3</t>
        </is>
      </c>
    </row>
    <row r="103">
      <c r="A103" t="inlineStr">
        <is>
          <t>2026-04-23</t>
        </is>
      </c>
      <c r="B103" t="inlineStr">
        <is>
          <t>2026-0423-003</t>
        </is>
      </c>
      <c r="C103" t="inlineStr">
        <is>
          <t>Inference Engine SSRF</t>
        </is>
      </c>
      <c r="E103" t="inlineStr">
        <is>
          <t>SC-7</t>
        </is>
      </c>
      <c r="F103" t="inlineStr">
        <is>
          <t>PB-3</t>
        </is>
      </c>
    </row>
    <row r="104">
      <c r="A104" t="inlineStr">
        <is>
          <t>2026-04-23</t>
        </is>
      </c>
      <c r="B104" t="inlineStr">
        <is>
          <t>2026-0423-004</t>
        </is>
      </c>
      <c r="C104" t="inlineStr">
        <is>
          <t>Memory Poisoning</t>
        </is>
      </c>
      <c r="E104" t="inlineStr">
        <is>
          <t>SI-7</t>
        </is>
      </c>
      <c r="F104" t="inlineStr">
        <is>
          <t>PB-3</t>
        </is>
      </c>
    </row>
    <row r="105">
      <c r="A105" t="inlineStr">
        <is>
          <t>2026-04-23</t>
        </is>
      </c>
      <c r="B105" t="inlineStr">
        <is>
          <t>2026-0423-005</t>
        </is>
      </c>
      <c r="C105" t="inlineStr">
        <is>
          <t>Recommendation Poisoning</t>
        </is>
      </c>
      <c r="E105" t="inlineStr">
        <is>
          <t>SI-7</t>
        </is>
      </c>
      <c r="F105" t="inlineStr">
        <is>
          <t>PB-3</t>
        </is>
      </c>
    </row>
    <row r="106">
      <c r="A106" t="inlineStr">
        <is>
          <t>2026-04-23</t>
        </is>
      </c>
      <c r="B106" t="inlineStr">
        <is>
          <t>2026-0423-006</t>
        </is>
      </c>
      <c r="C106" t="inlineStr">
        <is>
          <t>Governance Signal</t>
        </is>
      </c>
      <c r="E106" t="inlineStr">
        <is>
          <t>PL-2</t>
        </is>
      </c>
      <c r="F106" t="inlineStr">
        <is>
          <t>PB-3</t>
        </is>
      </c>
    </row>
    <row r="107">
      <c r="A107" t="inlineStr">
        <is>
          <t>2026-04-23</t>
        </is>
      </c>
      <c r="B107" t="inlineStr">
        <is>
          <t>2026-0423-007</t>
        </is>
      </c>
      <c r="C107" t="inlineStr">
        <is>
          <t>Agent Privilege Abuse</t>
        </is>
      </c>
      <c r="E107" t="inlineStr">
        <is>
          <t>AC-3</t>
        </is>
      </c>
      <c r="F107" t="inlineStr">
        <is>
          <t>PB-3</t>
        </is>
      </c>
    </row>
    <row r="108">
      <c r="A108" t="inlineStr">
        <is>
          <t>2026-04-23</t>
        </is>
      </c>
      <c r="B108" t="inlineStr">
        <is>
          <t>2026-0423-008</t>
        </is>
      </c>
      <c r="C108" t="inlineStr">
        <is>
          <t>Offensive AI Capability</t>
        </is>
      </c>
      <c r="E108" t="inlineStr">
        <is>
          <t>RA-3</t>
        </is>
      </c>
      <c r="F108" t="inlineStr">
        <is>
          <t>PB-3</t>
        </is>
      </c>
    </row>
    <row r="109">
      <c r="A109" t="inlineStr">
        <is>
          <t>2026-04-23</t>
        </is>
      </c>
      <c r="B109" t="inlineStr">
        <is>
          <t>2026-0423-009</t>
        </is>
      </c>
      <c r="C109" t="inlineStr">
        <is>
          <t>AI Toolchain RCE</t>
        </is>
      </c>
      <c r="E109" t="inlineStr">
        <is>
          <t>SA-11</t>
        </is>
      </c>
      <c r="F109" t="inlineStr">
        <is>
          <t>PB-3</t>
        </is>
      </c>
    </row>
    <row r="110">
      <c r="A110" t="inlineStr">
        <is>
          <t>2026-04-23</t>
        </is>
      </c>
      <c r="B110" t="inlineStr">
        <is>
          <t>2026-0423-010</t>
        </is>
      </c>
      <c r="C110" t="inlineStr">
        <is>
          <t>Third-party AI SaaS</t>
        </is>
      </c>
      <c r="E110" t="inlineStr">
        <is>
          <t>SA-12</t>
        </is>
      </c>
      <c r="F110" t="inlineStr">
        <is>
          <t>PB-3</t>
        </is>
      </c>
    </row>
    <row r="111">
      <c r="A111" t="inlineStr">
        <is>
          <t>2026-04-23</t>
        </is>
      </c>
      <c r="B111" t="inlineStr">
        <is>
          <t>2026-0423-011</t>
        </is>
      </c>
      <c r="C111" t="inlineStr">
        <is>
          <t>AI Workflow Platform</t>
        </is>
      </c>
      <c r="E111" t="inlineStr">
        <is>
          <t>SI-2</t>
        </is>
      </c>
      <c r="F111" t="inlineStr">
        <is>
          <t>PB-3</t>
        </is>
      </c>
    </row>
    <row r="112">
      <c r="A112" t="inlineStr">
        <is>
          <t>2026-04-23</t>
        </is>
      </c>
      <c r="B112" t="inlineStr">
        <is>
          <t>2026-0423-012</t>
        </is>
      </c>
      <c r="C112" t="inlineStr">
        <is>
          <t>AI Defensive Capability</t>
        </is>
      </c>
      <c r="E112" t="inlineStr">
        <is>
          <t>CA-8</t>
        </is>
      </c>
      <c r="F112" t="inlineStr">
        <is>
          <t>PB-3</t>
        </is>
      </c>
    </row>
    <row r="113">
      <c r="A113" t="inlineStr">
        <is>
          <t>2026-04-23</t>
        </is>
      </c>
      <c r="B113" t="inlineStr">
        <is>
          <t>2026-0423-013</t>
        </is>
      </c>
      <c r="C113" t="inlineStr">
        <is>
          <t>Endpoint Security Abuse</t>
        </is>
      </c>
      <c r="E113" t="inlineStr">
        <is>
          <t>SI-3</t>
        </is>
      </c>
      <c r="F113" t="inlineStr">
        <is>
          <t>PB-3</t>
        </is>
      </c>
    </row>
    <row r="114">
      <c r="A114" t="inlineStr">
        <is>
          <t>2026-04-23</t>
        </is>
      </c>
      <c r="B114" t="inlineStr">
        <is>
          <t>2026-0423-014</t>
        </is>
      </c>
      <c r="C114" t="inlineStr">
        <is>
          <t>Framework Update</t>
        </is>
      </c>
      <c r="E114" t="inlineStr">
        <is>
          <t>CA-8</t>
        </is>
      </c>
      <c r="F114" t="inlineStr">
        <is>
          <t>PB-3</t>
        </is>
      </c>
    </row>
    <row r="115">
      <c r="A115" t="inlineStr">
        <is>
          <t>2026-04-23</t>
        </is>
      </c>
      <c r="B115" t="inlineStr">
        <is>
          <t>2026-0423-015</t>
        </is>
      </c>
      <c r="C115" t="inlineStr">
        <is>
          <t>Framework Update</t>
        </is>
      </c>
      <c r="E115" t="inlineStr">
        <is>
          <t>PL-2</t>
        </is>
      </c>
      <c r="F115" t="inlineStr">
        <is>
          <t>PB-3</t>
        </is>
      </c>
    </row>
    <row r="116">
      <c r="A116" t="inlineStr">
        <is>
          <t>2026-04-23</t>
        </is>
      </c>
      <c r="B116" t="inlineStr">
        <is>
          <t>2026-0423-016</t>
        </is>
      </c>
      <c r="C116" t="inlineStr">
        <is>
          <t>Regulatory/Profile</t>
        </is>
      </c>
      <c r="E116" t="inlineStr">
        <is>
          <t>PM-1</t>
        </is>
      </c>
      <c r="F116" t="inlineStr">
        <is>
          <t>PB-3</t>
        </is>
      </c>
    </row>
    <row r="117">
      <c r="A117" t="inlineStr">
        <is>
          <t>2026-04-23</t>
        </is>
      </c>
      <c r="B117" t="inlineStr">
        <is>
          <t>2026-0423-017</t>
        </is>
      </c>
      <c r="C117" t="inlineStr">
        <is>
          <t>Implementation Guide</t>
        </is>
      </c>
      <c r="E117" t="inlineStr">
        <is>
          <t>SA-11</t>
        </is>
      </c>
      <c r="F117" t="inlineStr">
        <is>
          <t>PB-3</t>
        </is>
      </c>
    </row>
    <row r="118">
      <c r="A118" t="inlineStr">
        <is>
          <t>2026-04-24</t>
        </is>
      </c>
      <c r="B118" t="inlineStr">
        <is>
          <t>2026-0424-001</t>
        </is>
      </c>
      <c r="C118" t="inlineStr">
        <is>
          <t>Claude Code + GPT-4.1 Weaponized Against Mexican Government - 195M Records / 150GB Exfiltrated</t>
        </is>
      </c>
      <c r="E118" t="inlineStr">
        <is>
          <t>AC-3</t>
        </is>
      </c>
      <c r="F118" t="inlineStr">
        <is>
          <t>PB-3</t>
        </is>
      </c>
    </row>
    <row r="119">
      <c r="A119" t="inlineStr">
        <is>
          <t>2026-04-24</t>
        </is>
      </c>
      <c r="B119" t="inlineStr">
        <is>
          <t>2026-0424-002</t>
        </is>
      </c>
      <c r="C119" t="inlineStr">
        <is>
          <t>Google Antigravity Prompt-Injection-to-RCE - find_by_name Pattern Flag Injection Escapes Sandbox</t>
        </is>
      </c>
      <c r="E119" t="inlineStr">
        <is>
          <t>SI-10</t>
        </is>
      </c>
      <c r="F119" t="inlineStr">
        <is>
          <t>PB-3</t>
        </is>
      </c>
    </row>
    <row r="120">
      <c r="A120" t="inlineStr">
        <is>
          <t>2026-04-24</t>
        </is>
      </c>
      <c r="B120" t="inlineStr">
        <is>
          <t>2026-0424-003</t>
        </is>
      </c>
      <c r="C120" t="inlineStr">
        <is>
          <t>CVE-2026-22778 - vLLM RCE via Malicious Video URL (Unauthenticated Chain)</t>
        </is>
      </c>
      <c r="E120" t="inlineStr">
        <is>
          <t>SI-2</t>
        </is>
      </c>
      <c r="F120" t="inlineStr">
        <is>
          <t>PB-3</t>
        </is>
      </c>
    </row>
    <row r="121">
      <c r="A121" t="inlineStr">
        <is>
          <t>2026-04-24</t>
        </is>
      </c>
      <c r="B121" t="inlineStr">
        <is>
          <t>2026-0424-004</t>
        </is>
      </c>
      <c r="C121" t="inlineStr">
        <is>
          <t>CVE-2026-22807 - vLLM auto_map Code Injection at Model Load (trust_remote_code Bypass)</t>
        </is>
      </c>
      <c r="E121" t="inlineStr">
        <is>
          <t>SA-12</t>
        </is>
      </c>
      <c r="F121" t="inlineStr">
        <is>
          <t>PB-3</t>
        </is>
      </c>
    </row>
    <row r="122">
      <c r="A122" t="inlineStr">
        <is>
          <t>2026-04-24</t>
        </is>
      </c>
      <c r="B122" t="inlineStr">
        <is>
          <t>2026-0424-005</t>
        </is>
      </c>
      <c r="C122" t="inlineStr">
        <is>
          <t>Poetry Jailbreak - Universal Single-Shot Safety Bypass Across Frontier LLMs</t>
        </is>
      </c>
      <c r="E122" t="inlineStr">
        <is>
          <t>SI-10</t>
        </is>
      </c>
      <c r="F122" t="inlineStr">
        <is>
          <t>PB-3</t>
        </is>
      </c>
    </row>
    <row r="123">
      <c r="A123" t="inlineStr">
        <is>
          <t>2026-04-24</t>
        </is>
      </c>
      <c r="B123" t="inlineStr">
        <is>
          <t>2026-0424-006</t>
        </is>
      </c>
      <c r="C123" t="inlineStr">
        <is>
          <t>Enterprise AI Chat Exposure - 46.5M Messages / 728K Files / 3.68M RAG Chunks</t>
        </is>
      </c>
      <c r="E123" t="inlineStr">
        <is>
          <t>AC-3</t>
        </is>
      </c>
      <c r="F123" t="inlineStr">
        <is>
          <t>PB-3</t>
        </is>
      </c>
    </row>
    <row r="124">
      <c r="A124" t="inlineStr">
        <is>
          <t>2026-04-24</t>
        </is>
      </c>
      <c r="B124" t="inlineStr">
        <is>
          <t>2026-0424-007</t>
        </is>
      </c>
      <c r="C124" t="inlineStr">
        <is>
          <t>CrowdStrike 2026 Global Threat Report - AI Security Tools Hijacked at 90+ Organizations</t>
        </is>
      </c>
      <c r="E124" t="inlineStr">
        <is>
          <t>AC-6</t>
        </is>
      </c>
      <c r="F124" t="inlineStr">
        <is>
          <t>PB-3</t>
        </is>
      </c>
    </row>
    <row r="125">
      <c r="A125" t="inlineStr">
        <is>
          <t>2026-04-24</t>
        </is>
      </c>
      <c r="B125" t="inlineStr">
        <is>
          <t>2026-0424-008</t>
        </is>
      </c>
      <c r="C125" t="inlineStr">
        <is>
          <t>PhantomRaven - 126 Malicious npm Packages Exploiting AI Package Hallucination</t>
        </is>
      </c>
      <c r="E125" t="inlineStr">
        <is>
          <t>SA-12</t>
        </is>
      </c>
      <c r="F125" t="inlineStr">
        <is>
          <t>PB-3</t>
        </is>
      </c>
    </row>
    <row r="126">
      <c r="A126" t="inlineStr">
        <is>
          <t>2026-04-24</t>
        </is>
      </c>
      <c r="B126" t="inlineStr">
        <is>
          <t>2026-0424-009</t>
        </is>
      </c>
      <c r="C126" t="inlineStr">
        <is>
          <t>Postmark Impersonation MCP Server - Silent BCC Exfiltration of Every Agent Email</t>
        </is>
      </c>
      <c r="E126" t="inlineStr">
        <is>
          <t>SA-12</t>
        </is>
      </c>
      <c r="F126" t="inlineStr">
        <is>
          <t>PB-3</t>
        </is>
      </c>
    </row>
    <row r="127">
      <c r="A127" t="inlineStr">
        <is>
          <t>2026-04-24</t>
        </is>
      </c>
      <c r="B127" t="inlineStr">
        <is>
          <t>2026-0424-010</t>
        </is>
      </c>
      <c r="C127" t="inlineStr">
        <is>
          <t>CVE-2026-34753 - vLLM Batch Runner SSRF via download_bytes_from_url</t>
        </is>
      </c>
      <c r="E127" t="inlineStr">
        <is>
          <t>SC-7</t>
        </is>
      </c>
      <c r="F127" t="inlineStr">
        <is>
          <t>PB-3</t>
        </is>
      </c>
    </row>
    <row r="128">
      <c r="A128" t="inlineStr">
        <is>
          <t>2026-04-24</t>
        </is>
      </c>
      <c r="B128" t="inlineStr">
        <is>
          <t>2026-0424-011</t>
        </is>
      </c>
      <c r="C128" t="inlineStr">
        <is>
          <t>CISA KEV Adds 8 Exploited Flaws - Cisco Catalyst SD-WAN Trio, April 23/May 4 Federal Deadlines</t>
        </is>
      </c>
      <c r="E128" t="inlineStr">
        <is>
          <t>SI-2</t>
        </is>
      </c>
      <c r="F128" t="inlineStr">
        <is>
          <t>PB-3</t>
        </is>
      </c>
    </row>
    <row r="129">
      <c r="A129" t="inlineStr">
        <is>
          <t>2026-04-24</t>
        </is>
      </c>
      <c r="B129" t="inlineStr">
        <is>
          <t>2026-0424-012</t>
        </is>
      </c>
      <c r="C129" t="inlineStr">
        <is>
          <t>Microsoft April 2026 Patch Tuesday - 160+ Fixes Including 2 Zero-Days</t>
        </is>
      </c>
      <c r="E129" t="inlineStr">
        <is>
          <t>SI-2</t>
        </is>
      </c>
      <c r="F129" t="inlineStr">
        <is>
          <t>PB-3</t>
        </is>
      </c>
    </row>
    <row r="130">
      <c r="A130" t="inlineStr">
        <is>
          <t>2026-04-24</t>
        </is>
      </c>
      <c r="B130" t="inlineStr">
        <is>
          <t>2026-0424-013</t>
        </is>
      </c>
      <c r="C130" t="inlineStr">
        <is>
          <t>AI Voice-Clone Scam Wave - 1-in-10 Americans Affected, Congressional Hearings Open</t>
        </is>
      </c>
      <c r="E130" t="inlineStr">
        <is>
          <t>AT-2</t>
        </is>
      </c>
      <c r="F130" t="inlineStr">
        <is>
          <t>PB-3</t>
        </is>
      </c>
    </row>
    <row r="131">
      <c r="A131" t="inlineStr">
        <is>
          <t>2026-04-24</t>
        </is>
      </c>
      <c r="B131" t="inlineStr">
        <is>
          <t>2026-0424-014</t>
        </is>
      </c>
      <c r="C131" t="inlineStr">
        <is>
          <t>IBM Announces Agentic Attack Defense Measures (Apr 15, 2026)</t>
        </is>
      </c>
      <c r="E131" t="inlineStr">
        <is>
          <t>PM-16</t>
        </is>
      </c>
      <c r="F131" t="inlineStr">
        <is>
          <t>PB-3</t>
        </is>
      </c>
    </row>
    <row r="132">
      <c r="A132" t="inlineStr">
        <is>
          <t>2026-04-24</t>
        </is>
      </c>
      <c r="B132" t="inlineStr">
        <is>
          <t>2026-0424-015</t>
        </is>
      </c>
      <c r="C132" t="inlineStr">
        <is>
          <t>MITRE ATLAS AI Service API Technique (AML.T0096) - SesameOp Case Study Promoted</t>
        </is>
      </c>
      <c r="E132" t="inlineStr">
        <is>
          <t>CA-8</t>
        </is>
      </c>
      <c r="F132" t="inlineStr">
        <is>
          <t>PB-3</t>
        </is>
      </c>
    </row>
    <row r="133">
      <c r="A133" t="inlineStr">
        <is>
          <t>2026-04-24</t>
        </is>
      </c>
      <c r="B133" t="inlineStr">
        <is>
          <t>2026-0424-016</t>
        </is>
      </c>
      <c r="C133" t="inlineStr">
        <is>
          <t>NIST SP 800-53 COSAiS Control Overlays for AI - Q3 2026 Draft Window</t>
        </is>
      </c>
      <c r="E133" t="inlineStr">
        <is>
          <t>PM-1</t>
        </is>
      </c>
      <c r="F133" t="inlineStr">
        <is>
          <t>PB-3</t>
        </is>
      </c>
    </row>
    <row r="134">
      <c r="A134" t="inlineStr">
        <is>
          <t>2026-04-24</t>
        </is>
      </c>
      <c r="B134" t="inlineStr">
        <is>
          <t>2026-0424-017</t>
        </is>
      </c>
      <c r="C134" t="inlineStr">
        <is>
          <t>LiteLLM Security Hardening - CVE-2026-30623 Fixed in v1.83.6-nightly / v1.83.7-stable</t>
        </is>
      </c>
      <c r="E134" t="inlineStr">
        <is>
          <t>SI-2</t>
        </is>
      </c>
      <c r="F134" t="inlineStr">
        <is>
          <t>PB-3</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J134"/>
  <sheetViews>
    <sheetView zoomScaleNormal="100" workbookViewId="0">
      <pane ySplit="1" topLeftCell="A2" activePane="bottomLeft" state="frozen"/>
      <selection pane="bottomLeft" activeCell="F5" sqref="F5"/>
    </sheetView>
  </sheetViews>
  <sheetFormatPr baseColWidth="8" defaultColWidth="8.6328125" defaultRowHeight="14.5"/>
  <cols>
    <col width="12" customWidth="1" min="1" max="1"/>
    <col width="15" customWidth="1" min="2" max="2"/>
    <col width="47.54296875" customWidth="1" min="3" max="3"/>
    <col width="20" customWidth="1" min="4" max="4"/>
    <col width="25" customWidth="1" min="5" max="6"/>
    <col width="30" customWidth="1" min="7" max="7"/>
    <col width="15" customWidth="1" min="8" max="8"/>
    <col width="25" customWidth="1" min="9" max="9"/>
    <col width="20" customWidth="1" min="10" max="10"/>
  </cols>
  <sheetData>
    <row r="1">
      <c r="A1" s="2" t="inlineStr">
        <is>
          <t>Date</t>
        </is>
      </c>
      <c r="B1" s="2" t="inlineStr">
        <is>
          <t>Item ID</t>
        </is>
      </c>
      <c r="C1" s="2" t="inlineStr">
        <is>
          <t>Threat/Item Title</t>
        </is>
      </c>
      <c r="D1" s="2" t="inlineStr">
        <is>
          <t>Stakeholder Type</t>
        </is>
      </c>
      <c r="E1" s="2" t="inlineStr">
        <is>
          <t>Stakeholder Sub-type</t>
        </is>
      </c>
      <c r="F1" s="2" t="inlineStr">
        <is>
          <t>Risky Action</t>
        </is>
      </c>
      <c r="G1" s="2" t="inlineStr">
        <is>
          <t>Supply Chain Component</t>
        </is>
      </c>
      <c r="H1" s="2" t="inlineStr">
        <is>
          <t>Risk Type</t>
        </is>
      </c>
      <c r="I1" s="2" t="inlineStr">
        <is>
          <t>Mitigation Category</t>
        </is>
      </c>
      <c r="J1" s="2" t="inlineStr">
        <is>
          <t>Mitigation Status</t>
        </is>
      </c>
    </row>
    <row r="2">
      <c r="A2" t="inlineStr">
        <is>
          <t>2026-04-07</t>
        </is>
      </c>
      <c r="B2" t="inlineStr">
        <is>
          <t>2026-0407-001</t>
        </is>
      </c>
      <c r="C2" t="inlineStr">
        <is>
          <t>OpenClaw AI Agent Framework Compromise</t>
        </is>
      </c>
      <c r="D2" t="inlineStr">
        <is>
          <t>Risky Consumers</t>
        </is>
      </c>
      <c r="F2" t="inlineStr">
        <is>
          <t>Supply Chain Compromise</t>
        </is>
      </c>
      <c r="G2" t="inlineStr">
        <is>
          <t>Third-Party Libraries</t>
        </is>
      </c>
      <c r="H2" t="inlineStr">
        <is>
          <t>Security Risk</t>
        </is>
      </c>
      <c r="J2" t="inlineStr">
        <is>
          <t>Not Started</t>
        </is>
      </c>
    </row>
    <row r="3">
      <c r="A3" t="inlineStr">
        <is>
          <t>2026-04-07</t>
        </is>
      </c>
      <c r="B3" t="inlineStr">
        <is>
          <t>2026-0407-002</t>
        </is>
      </c>
      <c r="C3" t="inlineStr">
        <is>
          <t>LiteLLM CI Pipeline Backdoor</t>
        </is>
      </c>
      <c r="D3" t="inlineStr">
        <is>
          <t>Risky Contributors</t>
        </is>
      </c>
      <c r="F3" t="inlineStr">
        <is>
          <t>Implant Malicious Code</t>
        </is>
      </c>
      <c r="G3" t="inlineStr">
        <is>
          <t>CI/CD Toolchain</t>
        </is>
      </c>
      <c r="H3" t="inlineStr">
        <is>
          <t>Security Risk</t>
        </is>
      </c>
      <c r="J3" t="inlineStr">
        <is>
          <t>Not Started</t>
        </is>
      </c>
    </row>
    <row r="4">
      <c r="A4" t="inlineStr">
        <is>
          <t>2026-04-07</t>
        </is>
      </c>
      <c r="B4" t="inlineStr">
        <is>
          <t>2026-0407-003</t>
        </is>
      </c>
      <c r="C4" t="inlineStr">
        <is>
          <t>Langflow Zero-Auth Compromise</t>
        </is>
      </c>
      <c r="D4" t="inlineStr">
        <is>
          <t>Risky Administrators</t>
        </is>
      </c>
      <c r="F4" t="inlineStr">
        <is>
          <t>Misconfiguration</t>
        </is>
      </c>
      <c r="G4" t="inlineStr">
        <is>
          <t>Platform Image</t>
        </is>
      </c>
      <c r="H4" t="inlineStr">
        <is>
          <t>Security Risk</t>
        </is>
      </c>
      <c r="J4" t="inlineStr">
        <is>
          <t>Not Started</t>
        </is>
      </c>
    </row>
    <row r="5">
      <c r="A5" t="inlineStr">
        <is>
          <t>2026-04-07</t>
        </is>
      </c>
      <c r="B5" t="inlineStr">
        <is>
          <t>2026-0407-004</t>
        </is>
      </c>
      <c r="C5" t="inlineStr">
        <is>
          <t>Prompt Injection 73% Production Rate</t>
        </is>
      </c>
      <c r="D5" t="inlineStr">
        <is>
          <t>Risky Consumers</t>
        </is>
      </c>
      <c r="F5" t="inlineStr">
        <is>
          <t>Implant Poisoned Prompts</t>
        </is>
      </c>
      <c r="G5" t="inlineStr">
        <is>
          <t>Third-Party Prompts</t>
        </is>
      </c>
      <c r="H5" t="inlineStr">
        <is>
          <t>Security Risk</t>
        </is>
      </c>
      <c r="J5" t="inlineStr">
        <is>
          <t>Not Started</t>
        </is>
      </c>
    </row>
    <row r="6">
      <c r="A6" t="inlineStr">
        <is>
          <t>2026-04-07</t>
        </is>
      </c>
      <c r="B6" t="inlineStr">
        <is>
          <t>2026-0407-005</t>
        </is>
      </c>
      <c r="C6" t="inlineStr">
        <is>
          <t>MCP Security Vulnerabilities</t>
        </is>
      </c>
      <c r="D6" t="inlineStr">
        <is>
          <t>Risky Contributors</t>
        </is>
      </c>
      <c r="F6" t="inlineStr">
        <is>
          <t>Supply Chain Compromise</t>
        </is>
      </c>
      <c r="G6" t="inlineStr">
        <is>
          <t>Model Development Toolchain</t>
        </is>
      </c>
      <c r="H6" t="inlineStr">
        <is>
          <t>Security Risk</t>
        </is>
      </c>
      <c r="J6" t="inlineStr">
        <is>
          <t>Not Started</t>
        </is>
      </c>
    </row>
    <row r="7">
      <c r="A7" t="inlineStr">
        <is>
          <t>2026-04-07</t>
        </is>
      </c>
      <c r="B7" t="inlineStr">
        <is>
          <t>2026-0407-006</t>
        </is>
      </c>
      <c r="C7" t="inlineStr">
        <is>
          <t>RAG Poisoning Attacks</t>
        </is>
      </c>
      <c r="D7" t="inlineStr">
        <is>
          <t>Risky Contributors</t>
        </is>
      </c>
      <c r="F7" t="inlineStr">
        <is>
          <t>Implant Poisoned Data</t>
        </is>
      </c>
      <c r="G7" t="inlineStr">
        <is>
          <t>Training/Fine-tuning/RAG Dataset</t>
        </is>
      </c>
      <c r="H7" t="inlineStr">
        <is>
          <t>Privacy Risk</t>
        </is>
      </c>
      <c r="J7" t="inlineStr">
        <is>
          <t>In Review</t>
        </is>
      </c>
    </row>
    <row r="8">
      <c r="A8" t="inlineStr">
        <is>
          <t>2026-04-07</t>
        </is>
      </c>
      <c r="B8" t="inlineStr">
        <is>
          <t>2026-0407-007</t>
        </is>
      </c>
      <c r="C8" t="inlineStr">
        <is>
          <t>Drift Protocol $285M Theft (DPRK)</t>
        </is>
      </c>
      <c r="D8" t="inlineStr">
        <is>
          <t>Risky Consumers</t>
        </is>
      </c>
      <c r="F8" t="inlineStr">
        <is>
          <t>Social Engineering</t>
        </is>
      </c>
      <c r="G8" t="inlineStr">
        <is>
          <t>LLM Application</t>
        </is>
      </c>
      <c r="H8" t="inlineStr">
        <is>
          <t>Security Risk</t>
        </is>
      </c>
      <c r="J8" t="inlineStr">
        <is>
          <t>Not Started</t>
        </is>
      </c>
    </row>
    <row r="9">
      <c r="A9" t="inlineStr">
        <is>
          <t>2026-04-07</t>
        </is>
      </c>
      <c r="B9" t="inlineStr">
        <is>
          <t>2026-0407-008</t>
        </is>
      </c>
      <c r="C9" t="inlineStr">
        <is>
          <t>Snowflake Mass Breach</t>
        </is>
      </c>
      <c r="D9" t="inlineStr">
        <is>
          <t>Risky Administrators</t>
        </is>
      </c>
      <c r="F9" t="inlineStr">
        <is>
          <t>Credential Compromise</t>
        </is>
      </c>
      <c r="G9" t="inlineStr">
        <is>
          <t>Platform Image</t>
        </is>
      </c>
      <c r="H9" t="inlineStr">
        <is>
          <t>Privacy Risk</t>
        </is>
      </c>
      <c r="J9" t="inlineStr">
        <is>
          <t>Not Started</t>
        </is>
      </c>
    </row>
    <row r="10">
      <c r="A10" t="inlineStr">
        <is>
          <t>2026-04-07</t>
        </is>
      </c>
      <c r="B10" t="inlineStr">
        <is>
          <t>2026-0407-009</t>
        </is>
      </c>
      <c r="C10" t="inlineStr">
        <is>
          <t>Fortinet FortiClient EMS Zero-Day</t>
        </is>
      </c>
      <c r="D10" t="inlineStr">
        <is>
          <t>Risky Administrators</t>
        </is>
      </c>
      <c r="F10" t="inlineStr">
        <is>
          <t>Zero-Day Exploit</t>
        </is>
      </c>
      <c r="G10" t="inlineStr">
        <is>
          <t>Platform Image</t>
        </is>
      </c>
      <c r="H10" t="inlineStr">
        <is>
          <t>Security Risk</t>
        </is>
      </c>
      <c r="J10" t="inlineStr">
        <is>
          <t>Not Started</t>
        </is>
      </c>
    </row>
    <row r="11">
      <c r="A11" t="inlineStr">
        <is>
          <t>2026-04-07</t>
        </is>
      </c>
      <c r="B11" t="inlineStr">
        <is>
          <t>2026-0407-010</t>
        </is>
      </c>
      <c r="C11" t="inlineStr">
        <is>
          <t>97% Cloud-Native Incidents (Red Hat)</t>
        </is>
      </c>
      <c r="D11" t="inlineStr">
        <is>
          <t>Risky Administrators</t>
        </is>
      </c>
      <c r="F11" t="inlineStr">
        <is>
          <t>Misconfiguration</t>
        </is>
      </c>
      <c r="G11" t="inlineStr">
        <is>
          <t>Platform Image</t>
        </is>
      </c>
      <c r="H11" t="inlineStr">
        <is>
          <t>Security Risk</t>
        </is>
      </c>
      <c r="J11" t="inlineStr">
        <is>
          <t>Not Started</t>
        </is>
      </c>
    </row>
    <row r="12">
      <c r="A12" t="inlineStr">
        <is>
          <t>2026-04-07</t>
        </is>
      </c>
      <c r="B12" t="inlineStr">
        <is>
          <t>2026-0407-011</t>
        </is>
      </c>
      <c r="C12" t="inlineStr">
        <is>
          <t>Iran Password Spraying M365</t>
        </is>
      </c>
      <c r="D12" t="inlineStr">
        <is>
          <t>Risky Consumers</t>
        </is>
      </c>
      <c r="F12" t="inlineStr">
        <is>
          <t>Credential Attack</t>
        </is>
      </c>
      <c r="G12" t="inlineStr">
        <is>
          <t>LLM Application</t>
        </is>
      </c>
      <c r="H12" t="inlineStr">
        <is>
          <t>Security Risk</t>
        </is>
      </c>
      <c r="J12" t="inlineStr">
        <is>
          <t>Not Started</t>
        </is>
      </c>
    </row>
    <row r="13">
      <c r="A13" t="inlineStr">
        <is>
          <t>2026-04-07</t>
        </is>
      </c>
      <c r="B13" t="inlineStr">
        <is>
          <t>2026-0407-012</t>
        </is>
      </c>
      <c r="C13" t="inlineStr">
        <is>
          <t>Flowise AI Platform Flaw</t>
        </is>
      </c>
      <c r="D13" t="inlineStr">
        <is>
          <t>Risky Administrators</t>
        </is>
      </c>
      <c r="F13" t="inlineStr">
        <is>
          <t>Zero-Day Exploit</t>
        </is>
      </c>
      <c r="G13" t="inlineStr">
        <is>
          <t>Platform Image</t>
        </is>
      </c>
      <c r="H13" t="inlineStr">
        <is>
          <t>Security Risk</t>
        </is>
      </c>
      <c r="J13" t="inlineStr">
        <is>
          <t>Not Started</t>
        </is>
      </c>
    </row>
    <row r="14">
      <c r="A14" t="inlineStr">
        <is>
          <t>2026-04-07</t>
        </is>
      </c>
      <c r="B14" t="inlineStr">
        <is>
          <t>2026-0407-013</t>
        </is>
      </c>
      <c r="C14" t="inlineStr">
        <is>
          <t>Healthcare Ransomware (Interlock)</t>
        </is>
      </c>
      <c r="D14" t="inlineStr">
        <is>
          <t>Risky Consumers</t>
        </is>
      </c>
      <c r="F14" t="inlineStr">
        <is>
          <t>Ransomware Deployment</t>
        </is>
      </c>
      <c r="G14" t="inlineStr">
        <is>
          <t>LLM Application</t>
        </is>
      </c>
      <c r="H14" t="inlineStr">
        <is>
          <t>Security Risk</t>
        </is>
      </c>
      <c r="J14" t="inlineStr">
        <is>
          <t>In Review</t>
        </is>
      </c>
    </row>
    <row r="15">
      <c r="A15" t="inlineStr">
        <is>
          <t>2026-04-07</t>
        </is>
      </c>
      <c r="B15" t="inlineStr">
        <is>
          <t>2026-0407-014</t>
        </is>
      </c>
      <c r="C15" t="inlineStr">
        <is>
          <t>OWASP GenAI Red Teaming Initiative</t>
        </is>
      </c>
      <c r="D15" t="inlineStr">
        <is>
          <t>N/A</t>
        </is>
      </c>
      <c r="F15" t="inlineStr">
        <is>
          <t>Assessment</t>
        </is>
      </c>
      <c r="G15" t="inlineStr">
        <is>
          <t>N/A</t>
        </is>
      </c>
      <c r="H15" t="inlineStr">
        <is>
          <t>N/A</t>
        </is>
      </c>
      <c r="J15" t="inlineStr">
        <is>
          <t>In Review</t>
        </is>
      </c>
    </row>
    <row r="16">
      <c r="A16" t="inlineStr">
        <is>
          <t>2026-04-07</t>
        </is>
      </c>
      <c r="B16" t="inlineStr">
        <is>
          <t>2026-0407-015</t>
        </is>
      </c>
      <c r="C16" t="inlineStr">
        <is>
          <t>NIST Cyber AI Profile / COSAiS</t>
        </is>
      </c>
      <c r="D16" t="inlineStr">
        <is>
          <t>N/A</t>
        </is>
      </c>
      <c r="F16" t="inlineStr">
        <is>
          <t>Research</t>
        </is>
      </c>
      <c r="G16" t="inlineStr">
        <is>
          <t>N/A</t>
        </is>
      </c>
      <c r="H16" t="inlineStr">
        <is>
          <t>N/A</t>
        </is>
      </c>
      <c r="J16" t="inlineStr">
        <is>
          <t>In Review</t>
        </is>
      </c>
    </row>
    <row r="17">
      <c r="A17" t="inlineStr">
        <is>
          <t>2026-04-08</t>
        </is>
      </c>
      <c r="B17" t="inlineStr">
        <is>
          <t>2026-0408-001</t>
        </is>
      </c>
      <c r="C17" t="inlineStr">
        <is>
          <t>Axios NPM Package Hijack — RAT Deployment</t>
        </is>
      </c>
      <c r="D17" t="inlineStr">
        <is>
          <t>Risky Contributors</t>
        </is>
      </c>
      <c r="E17" t="inlineStr">
        <is>
          <t>None</t>
        </is>
      </c>
      <c r="F17" t="inlineStr">
        <is>
          <t>Implant Malicious Code</t>
        </is>
      </c>
      <c r="G17" t="inlineStr">
        <is>
          <t>Third-Party Libraries</t>
        </is>
      </c>
      <c r="H17" t="inlineStr">
        <is>
          <t>SR2 - System Compromise</t>
        </is>
      </c>
      <c r="I17" t="inlineStr">
        <is>
          <t>SBOM Analysis</t>
        </is>
      </c>
      <c r="J17" t="inlineStr">
        <is>
          <t>In Progress</t>
        </is>
      </c>
    </row>
    <row r="18">
      <c r="A18" t="inlineStr">
        <is>
          <t>2026-04-08</t>
        </is>
      </c>
      <c r="B18" t="inlineStr">
        <is>
          <t>2026-0408-002</t>
        </is>
      </c>
      <c r="C18" t="inlineStr">
        <is>
          <t>LiteLLM PyPI Infostealer (TeamPCP)</t>
        </is>
      </c>
      <c r="D18" t="inlineStr">
        <is>
          <t>Risky Contributors</t>
        </is>
      </c>
      <c r="E18" t="inlineStr">
        <is>
          <t>None</t>
        </is>
      </c>
      <c r="F18" t="inlineStr">
        <is>
          <t>Implant Malicious Code</t>
        </is>
      </c>
      <c r="G18" t="inlineStr">
        <is>
          <t>CI/CD Toolchain</t>
        </is>
      </c>
      <c r="H18" t="inlineStr">
        <is>
          <t>SR2 - System Compromise</t>
        </is>
      </c>
      <c r="I18" t="inlineStr">
        <is>
          <t>Anomaly Monitoring</t>
        </is>
      </c>
      <c r="J18" t="inlineStr">
        <is>
          <t>In Progress</t>
        </is>
      </c>
    </row>
    <row r="19">
      <c r="A19" t="inlineStr">
        <is>
          <t>2026-04-08</t>
        </is>
      </c>
      <c r="B19" t="inlineStr">
        <is>
          <t>2026-0408-003</t>
        </is>
      </c>
      <c r="C19" t="inlineStr">
        <is>
          <t>Citrix NetScaler ADC/Gateway CVE-2026-3055</t>
        </is>
      </c>
      <c r="D19" t="inlineStr">
        <is>
          <t>Risky Users</t>
        </is>
      </c>
      <c r="E19" t="inlineStr">
        <is>
          <t>None</t>
        </is>
      </c>
      <c r="F19" t="inlineStr">
        <is>
          <t>Exploit Vulnerabilities</t>
        </is>
      </c>
      <c r="G19" t="inlineStr">
        <is>
          <t>Platform</t>
        </is>
      </c>
      <c r="H19" t="inlineStr">
        <is>
          <t>SR2 - System Compromise</t>
        </is>
      </c>
      <c r="I19" t="inlineStr">
        <is>
          <t>Patch Management</t>
        </is>
      </c>
      <c r="J19" t="inlineStr">
        <is>
          <t>In Progress</t>
        </is>
      </c>
    </row>
    <row r="20">
      <c r="A20" t="inlineStr">
        <is>
          <t>2026-04-08</t>
        </is>
      </c>
      <c r="B20" t="inlineStr">
        <is>
          <t>2026-0408-004</t>
        </is>
      </c>
      <c r="C20" t="inlineStr">
        <is>
          <t>ChipSoft Healthcare Ransomware — 80% Dutch Hospitals</t>
        </is>
      </c>
      <c r="D20" t="inlineStr">
        <is>
          <t>Risky Users</t>
        </is>
      </c>
      <c r="E20" t="inlineStr">
        <is>
          <t>None</t>
        </is>
      </c>
      <c r="F20" t="inlineStr">
        <is>
          <t>Ransomware Deployment</t>
        </is>
      </c>
      <c r="G20" t="inlineStr">
        <is>
          <t>LLM Application</t>
        </is>
      </c>
      <c r="H20" t="inlineStr">
        <is>
          <t>DR3 - Denial of Service</t>
        </is>
      </c>
      <c r="I20" t="inlineStr">
        <is>
          <t>Incident Response</t>
        </is>
      </c>
      <c r="J20" t="inlineStr">
        <is>
          <t>In Progress</t>
        </is>
      </c>
    </row>
    <row r="21">
      <c r="A21" t="inlineStr">
        <is>
          <t>2026-04-08</t>
        </is>
      </c>
      <c r="B21" t="inlineStr">
        <is>
          <t>2026-0408-005</t>
        </is>
      </c>
      <c r="C21" t="inlineStr">
        <is>
          <t>LLMjacking — Operation Bizarre Bazaar</t>
        </is>
      </c>
      <c r="D21" t="inlineStr">
        <is>
          <t>Risky Users</t>
        </is>
      </c>
      <c r="E21" t="inlineStr">
        <is>
          <t>None</t>
        </is>
      </c>
      <c r="F21" t="inlineStr">
        <is>
          <t>Exploit LLM Application Vulnerabilities</t>
        </is>
      </c>
      <c r="G21" t="inlineStr">
        <is>
          <t>Platform</t>
        </is>
      </c>
      <c r="H21" t="inlineStr">
        <is>
          <t>SR1 - Hacker Use</t>
        </is>
      </c>
      <c r="I21" t="inlineStr">
        <is>
          <t>Access Control</t>
        </is>
      </c>
      <c r="J21" t="inlineStr">
        <is>
          <t>In Progress</t>
        </is>
      </c>
    </row>
    <row r="22">
      <c r="A22" t="inlineStr">
        <is>
          <t>2026-04-08</t>
        </is>
      </c>
      <c r="B22" t="inlineStr">
        <is>
          <t>2026-0408-006</t>
        </is>
      </c>
      <c r="C22" t="inlineStr">
        <is>
          <t>MCP Sampling Attack Vectors (Unit42)</t>
        </is>
      </c>
      <c r="D22" t="inlineStr">
        <is>
          <t>Risky Administrators</t>
        </is>
      </c>
      <c r="E22" t="inlineStr">
        <is>
          <t>None</t>
        </is>
      </c>
      <c r="F22" t="inlineStr">
        <is>
          <t>Supply Chain Compromise</t>
        </is>
      </c>
      <c r="G22" t="inlineStr">
        <is>
          <t>Model Development Toolchain</t>
        </is>
      </c>
      <c r="H22" t="inlineStr">
        <is>
          <t>SR2 - System Compromise</t>
        </is>
      </c>
      <c r="I22" t="inlineStr">
        <is>
          <t>Secure Auditing</t>
        </is>
      </c>
      <c r="J22" t="inlineStr">
        <is>
          <t>In Progress</t>
        </is>
      </c>
    </row>
    <row r="23">
      <c r="A23" t="inlineStr">
        <is>
          <t>2026-04-08</t>
        </is>
      </c>
      <c r="B23" t="inlineStr">
        <is>
          <t>2026-0408-007</t>
        </is>
      </c>
      <c r="C23" t="inlineStr">
        <is>
          <t>Shadow AI — Primary Enterprise Data Leakage Vector</t>
        </is>
      </c>
      <c r="D23" t="inlineStr">
        <is>
          <t>Risky Consumers</t>
        </is>
      </c>
      <c r="E23" t="inlineStr">
        <is>
          <t>None</t>
        </is>
      </c>
      <c r="F23" t="inlineStr">
        <is>
          <t>Unauthorized Data Sharing</t>
        </is>
      </c>
      <c r="G23" t="inlineStr">
        <is>
          <t>Training Dataset</t>
        </is>
      </c>
      <c r="H23" t="inlineStr">
        <is>
          <t>PR1 - Data Leakage</t>
        </is>
      </c>
      <c r="I23" t="inlineStr">
        <is>
          <t>Access Control</t>
        </is>
      </c>
      <c r="J23" t="inlineStr">
        <is>
          <t>Monitoring</t>
        </is>
      </c>
    </row>
    <row r="24">
      <c r="A24" t="inlineStr">
        <is>
          <t>2026-04-08</t>
        </is>
      </c>
      <c r="B24" t="inlineStr">
        <is>
          <t>2026-0408-008</t>
        </is>
      </c>
      <c r="C24" t="inlineStr">
        <is>
          <t>Agentic AI Security Gap — 83% Deploy, 29% Ready</t>
        </is>
      </c>
      <c r="D24" t="inlineStr">
        <is>
          <t>Risky Administrators</t>
        </is>
      </c>
      <c r="E24" t="inlineStr">
        <is>
          <t>None</t>
        </is>
      </c>
      <c r="F24" t="inlineStr">
        <is>
          <t>Insufficient Security Controls</t>
        </is>
      </c>
      <c r="G24" t="inlineStr">
        <is>
          <t>Platform</t>
        </is>
      </c>
      <c r="H24" t="inlineStr">
        <is>
          <t>SR2 - System Compromise</t>
        </is>
      </c>
      <c r="I24" t="inlineStr">
        <is>
          <t>Security Assessment</t>
        </is>
      </c>
      <c r="J24" t="inlineStr">
        <is>
          <t>Monitoring</t>
        </is>
      </c>
    </row>
    <row r="25">
      <c r="A25" t="inlineStr">
        <is>
          <t>2026-04-08</t>
        </is>
      </c>
      <c r="B25" t="inlineStr">
        <is>
          <t>2026-0408-009</t>
        </is>
      </c>
      <c r="C25" t="inlineStr">
        <is>
          <t>Chaos Malware Cloud-Targeting Variant</t>
        </is>
      </c>
      <c r="D25" t="inlineStr">
        <is>
          <t>Risky Administrators</t>
        </is>
      </c>
      <c r="E25" t="inlineStr">
        <is>
          <t>None</t>
        </is>
      </c>
      <c r="F25" t="inlineStr">
        <is>
          <t>Misconfiguration</t>
        </is>
      </c>
      <c r="G25" t="inlineStr">
        <is>
          <t>Platform</t>
        </is>
      </c>
      <c r="H25" t="inlineStr">
        <is>
          <t>SR2 - System Compromise</t>
        </is>
      </c>
      <c r="I25" t="inlineStr">
        <is>
          <t>Configuration Management</t>
        </is>
      </c>
      <c r="J25" t="inlineStr">
        <is>
          <t>In Progress</t>
        </is>
      </c>
    </row>
    <row r="26">
      <c r="A26" t="inlineStr">
        <is>
          <t>2026-04-08</t>
        </is>
      </c>
      <c r="B26" t="inlineStr">
        <is>
          <t>2026-0408-010</t>
        </is>
      </c>
      <c r="C26" t="inlineStr">
        <is>
          <t>Handala Ransomware Group Surge — 23 Victims March</t>
        </is>
      </c>
      <c r="D26" t="inlineStr">
        <is>
          <t>Risky Users</t>
        </is>
      </c>
      <c r="E26" t="inlineStr">
        <is>
          <t>None</t>
        </is>
      </c>
      <c r="F26" t="inlineStr">
        <is>
          <t>Ransomware Deployment</t>
        </is>
      </c>
      <c r="G26" t="inlineStr">
        <is>
          <t>LLM Application</t>
        </is>
      </c>
      <c r="H26" t="inlineStr">
        <is>
          <t>DR3 - Denial of Service</t>
        </is>
      </c>
      <c r="I26" t="inlineStr">
        <is>
          <t>Incident Response</t>
        </is>
      </c>
      <c r="J26" t="inlineStr">
        <is>
          <t>Monitoring</t>
        </is>
      </c>
    </row>
    <row r="27">
      <c r="A27" t="inlineStr">
        <is>
          <t>2026-04-08</t>
        </is>
      </c>
      <c r="B27" t="inlineStr">
        <is>
          <t>2026-0408-011</t>
        </is>
      </c>
      <c r="C27" t="inlineStr">
        <is>
          <t>LLM Agent Memory Poisoning Attacks</t>
        </is>
      </c>
      <c r="D27" t="inlineStr">
        <is>
          <t>Risky Contributors</t>
        </is>
      </c>
      <c r="E27" t="inlineStr">
        <is>
          <t>None</t>
        </is>
      </c>
      <c r="F27" t="inlineStr">
        <is>
          <t>Implant Poisoned Data</t>
        </is>
      </c>
      <c r="G27" t="inlineStr">
        <is>
          <t>Training Dataset</t>
        </is>
      </c>
      <c r="H27" t="inlineStr">
        <is>
          <t>SR3 - Abnormal Content</t>
        </is>
      </c>
      <c r="I27" t="inlineStr">
        <is>
          <t>Data Sanitization</t>
        </is>
      </c>
      <c r="J27" t="inlineStr">
        <is>
          <t>Monitoring</t>
        </is>
      </c>
    </row>
    <row r="28">
      <c r="A28" t="inlineStr">
        <is>
          <t>2026-04-08</t>
        </is>
      </c>
      <c r="B28" t="inlineStr">
        <is>
          <t>2026-0408-012</t>
        </is>
      </c>
      <c r="C28" t="inlineStr">
        <is>
          <t>Middlesex County Government Systems Attack</t>
        </is>
      </c>
      <c r="D28" t="inlineStr">
        <is>
          <t>Risky Users</t>
        </is>
      </c>
      <c r="E28" t="inlineStr">
        <is>
          <t>None</t>
        </is>
      </c>
      <c r="F28" t="inlineStr">
        <is>
          <t>Unauthorized Access</t>
        </is>
      </c>
      <c r="G28" t="inlineStr">
        <is>
          <t>LLM Application</t>
        </is>
      </c>
      <c r="H28" t="inlineStr">
        <is>
          <t>SR1 - Hacker Use</t>
        </is>
      </c>
      <c r="I28" t="inlineStr">
        <is>
          <t>Incident Response</t>
        </is>
      </c>
      <c r="J28" t="inlineStr">
        <is>
          <t>Monitoring</t>
        </is>
      </c>
    </row>
    <row r="29">
      <c r="A29" t="inlineStr">
        <is>
          <t>2026-04-08</t>
        </is>
      </c>
      <c r="B29" t="inlineStr">
        <is>
          <t>2026-0408-013</t>
        </is>
      </c>
      <c r="C29" t="inlineStr">
        <is>
          <t>Qilin RaaS — 1,800+ Cumulative Victims</t>
        </is>
      </c>
      <c r="D29" t="inlineStr">
        <is>
          <t>Risky Users</t>
        </is>
      </c>
      <c r="E29" t="inlineStr">
        <is>
          <t>None</t>
        </is>
      </c>
      <c r="F29" t="inlineStr">
        <is>
          <t>Ransomware Deployment</t>
        </is>
      </c>
      <c r="G29" t="inlineStr">
        <is>
          <t>LLM Application</t>
        </is>
      </c>
      <c r="H29" t="inlineStr">
        <is>
          <t>DR3 - Denial of Service</t>
        </is>
      </c>
      <c r="I29" t="inlineStr">
        <is>
          <t>Threat Intelligence</t>
        </is>
      </c>
      <c r="J29" t="inlineStr">
        <is>
          <t>Monitoring</t>
        </is>
      </c>
    </row>
    <row r="30">
      <c r="A30" t="inlineStr">
        <is>
          <t>2026-04-08</t>
        </is>
      </c>
      <c r="B30" t="inlineStr">
        <is>
          <t>2026-0408-014</t>
        </is>
      </c>
      <c r="C30" t="inlineStr">
        <is>
          <t>OWASP Top 10 for Agentic Applications 2026</t>
        </is>
      </c>
      <c r="D30" t="inlineStr">
        <is>
          <t>N/A</t>
        </is>
      </c>
      <c r="E30" t="inlineStr">
        <is>
          <t>None</t>
        </is>
      </c>
      <c r="F30" t="inlineStr">
        <is>
          <t>Assessment</t>
        </is>
      </c>
      <c r="G30" t="inlineStr">
        <is>
          <t>N/A</t>
        </is>
      </c>
      <c r="H30" t="inlineStr">
        <is>
          <t>N/A</t>
        </is>
      </c>
      <c r="I30" t="inlineStr">
        <is>
          <t>None</t>
        </is>
      </c>
      <c r="J30" t="inlineStr">
        <is>
          <t>In Review</t>
        </is>
      </c>
    </row>
    <row r="31">
      <c r="A31" t="inlineStr">
        <is>
          <t>2026-04-08</t>
        </is>
      </c>
      <c r="B31" t="inlineStr">
        <is>
          <t>2026-0408-015</t>
        </is>
      </c>
      <c r="C31" t="inlineStr">
        <is>
          <t>Cisco State of AI Security 2026 Report</t>
        </is>
      </c>
      <c r="D31" t="inlineStr">
        <is>
          <t>N/A</t>
        </is>
      </c>
      <c r="E31" t="inlineStr">
        <is>
          <t>None</t>
        </is>
      </c>
      <c r="F31" t="inlineStr">
        <is>
          <t>Research</t>
        </is>
      </c>
      <c r="G31" t="inlineStr">
        <is>
          <t>N/A</t>
        </is>
      </c>
      <c r="H31" t="inlineStr">
        <is>
          <t>N/A</t>
        </is>
      </c>
      <c r="I31" t="inlineStr">
        <is>
          <t>None</t>
        </is>
      </c>
      <c r="J31" t="inlineStr">
        <is>
          <t>In Review</t>
        </is>
      </c>
    </row>
    <row r="32">
      <c r="A32" t="inlineStr">
        <is>
          <t>2026-04-09</t>
        </is>
      </c>
      <c r="B32" t="inlineStr">
        <is>
          <t>2026-0409-001</t>
        </is>
      </c>
      <c r="C32" t="inlineStr">
        <is>
          <t>EchoLeak: M365 Copilot Zero-Click Data Exfiltration</t>
        </is>
      </c>
      <c r="D32" t="inlineStr">
        <is>
          <t>Risky Users</t>
        </is>
      </c>
      <c r="F32" t="inlineStr">
        <is>
          <t>Prompt Injection</t>
        </is>
      </c>
      <c r="G32" t="inlineStr">
        <is>
          <t>LLM Application</t>
        </is>
      </c>
      <c r="H32" t="inlineStr">
        <is>
          <t>SR3 - Abnormal Content</t>
        </is>
      </c>
      <c r="I32" t="inlineStr">
        <is>
          <t>Prompt Sanitization, Session Isolation</t>
        </is>
      </c>
      <c r="J32" t="inlineStr">
        <is>
          <t>In Review</t>
        </is>
      </c>
    </row>
    <row r="33">
      <c r="A33" t="inlineStr">
        <is>
          <t>2026-04-09</t>
        </is>
      </c>
      <c r="B33" t="inlineStr">
        <is>
          <t>2026-0409-002</t>
        </is>
      </c>
      <c r="C33" t="inlineStr">
        <is>
          <t>OpenClaw Malicious Marketplace Skills &amp; WebSocket Hijack</t>
        </is>
      </c>
      <c r="D33" t="inlineStr">
        <is>
          <t>Risky Contributors</t>
        </is>
      </c>
      <c r="F33" t="inlineStr">
        <is>
          <t>Implant Malicious Code</t>
        </is>
      </c>
      <c r="G33" t="inlineStr">
        <is>
          <t>Third-Party Libraries</t>
        </is>
      </c>
      <c r="H33" t="inlineStr">
        <is>
          <t>SR2 - System Compromise</t>
        </is>
      </c>
      <c r="I33" t="inlineStr">
        <is>
          <t>SBOM Analysis, Malware Detection</t>
        </is>
      </c>
      <c r="J33" t="inlineStr">
        <is>
          <t>In Review</t>
        </is>
      </c>
    </row>
    <row r="34">
      <c r="A34" t="inlineStr">
        <is>
          <t>2026-04-09</t>
        </is>
      </c>
      <c r="B34" t="inlineStr">
        <is>
          <t>2026-0409-003</t>
        </is>
      </c>
      <c r="C34" t="inlineStr">
        <is>
          <t>MCP Security Audit: 43% Vulnerable, 30+ CVEs in 60 Days</t>
        </is>
      </c>
      <c r="D34" t="inlineStr">
        <is>
          <t>Risky Administrators</t>
        </is>
      </c>
      <c r="F34" t="inlineStr">
        <is>
          <t>Supply Chain Compromise</t>
        </is>
      </c>
      <c r="G34" t="inlineStr">
        <is>
          <t>Model Development Toolchain</t>
        </is>
      </c>
      <c r="H34" t="inlineStr">
        <is>
          <t>SR2 - System Compromise</t>
        </is>
      </c>
      <c r="I34" t="inlineStr">
        <is>
          <t>Secure Auditing, Permission Management, Anomaly Monitoring</t>
        </is>
      </c>
      <c r="J34" t="inlineStr">
        <is>
          <t>In Review</t>
        </is>
      </c>
    </row>
    <row r="35">
      <c r="A35" t="inlineStr">
        <is>
          <t>2026-04-09</t>
        </is>
      </c>
      <c r="B35" t="inlineStr">
        <is>
          <t>2026-0409-004</t>
        </is>
      </c>
      <c r="C35" t="inlineStr">
        <is>
          <t>Indirect Prompt Injection — 80% SSH Key Exfiltration via Poisoned Email</t>
        </is>
      </c>
      <c r="D35" t="inlineStr">
        <is>
          <t>Risky Users</t>
        </is>
      </c>
      <c r="F35" t="inlineStr">
        <is>
          <t>Prompt Injection</t>
        </is>
      </c>
      <c r="G35" t="inlineStr">
        <is>
          <t>LLM Prompts</t>
        </is>
      </c>
      <c r="H35" t="inlineStr">
        <is>
          <t>SR3 - Abnormal Content</t>
        </is>
      </c>
      <c r="I35" t="inlineStr">
        <is>
          <t>Prompt Sanitization, Robust Tuning, Anomaly Monitoring</t>
        </is>
      </c>
      <c r="J35" t="inlineStr">
        <is>
          <t>In Review</t>
        </is>
      </c>
    </row>
    <row r="36">
      <c r="A36" t="inlineStr">
        <is>
          <t>2026-04-09</t>
        </is>
      </c>
      <c r="B36" t="inlineStr">
        <is>
          <t>2026-0409-005</t>
        </is>
      </c>
      <c r="C36" t="inlineStr">
        <is>
          <t>arXiv:2604.03081 — Supply-Chain Poisoning in LLM Coding Agent Skill Ecosystems</t>
        </is>
      </c>
      <c r="D36" t="inlineStr">
        <is>
          <t>Risky Contributors</t>
        </is>
      </c>
      <c r="F36" t="inlineStr">
        <is>
          <t>Implant Poisoned Data</t>
        </is>
      </c>
      <c r="G36" t="inlineStr">
        <is>
          <t>Training Dataset</t>
        </is>
      </c>
      <c r="H36" t="inlineStr">
        <is>
          <t>SR2 - System Compromise</t>
        </is>
      </c>
      <c r="I36" t="inlineStr">
        <is>
          <t>SBOM, Malware Detection, Secure Coding</t>
        </is>
      </c>
      <c r="J36" t="inlineStr">
        <is>
          <t>In Review</t>
        </is>
      </c>
    </row>
    <row r="37">
      <c r="A37" t="inlineStr">
        <is>
          <t>2026-04-09</t>
        </is>
      </c>
      <c r="B37" t="inlineStr">
        <is>
          <t>2026-0409-006</t>
        </is>
      </c>
      <c r="C37" t="inlineStr">
        <is>
          <t>AI Trading Agent Vulnerability — $45M Crypto Protocol Breach</t>
        </is>
      </c>
      <c r="D37" t="inlineStr">
        <is>
          <t>Risky Users</t>
        </is>
      </c>
      <c r="F37" t="inlineStr">
        <is>
          <t>Exploit LLM Application Vulnerabilities</t>
        </is>
      </c>
      <c r="G37" t="inlineStr">
        <is>
          <t>LLM Application</t>
        </is>
      </c>
      <c r="H37" t="inlineStr">
        <is>
          <t>LR1 - Hacker Use</t>
        </is>
      </c>
      <c r="I37" t="inlineStr">
        <is>
          <t>Access Control, Anomaly Monitoring</t>
        </is>
      </c>
      <c r="J37" t="inlineStr">
        <is>
          <t>In Review</t>
        </is>
      </c>
    </row>
    <row r="38">
      <c r="A38" t="inlineStr">
        <is>
          <t>2026-04-09</t>
        </is>
      </c>
      <c r="B38" t="inlineStr">
        <is>
          <t>2026-0409-007</t>
        </is>
      </c>
      <c r="C38" t="inlineStr">
        <is>
          <t>Axios NPM Supply Chain — Google Attributes to DPRK UNC1069</t>
        </is>
      </c>
      <c r="D38" t="inlineStr">
        <is>
          <t>Risky Contributors</t>
        </is>
      </c>
      <c r="F38" t="inlineStr">
        <is>
          <t>Implant Malicious Code</t>
        </is>
      </c>
      <c r="G38" t="inlineStr">
        <is>
          <t>Third-Party Libraries</t>
        </is>
      </c>
      <c r="H38" t="inlineStr">
        <is>
          <t>SR2 - System Compromise</t>
        </is>
      </c>
      <c r="I38" t="inlineStr">
        <is>
          <t>SBOM Analysis, Malware Detection, Access Control</t>
        </is>
      </c>
      <c r="J38" t="inlineStr">
        <is>
          <t>In Review</t>
        </is>
      </c>
    </row>
    <row r="39">
      <c r="A39" t="inlineStr">
        <is>
          <t>2026-04-09</t>
        </is>
      </c>
      <c r="B39" t="inlineStr">
        <is>
          <t>2026-0409-008</t>
        </is>
      </c>
      <c r="C39" t="inlineStr">
        <is>
          <t>Mercor AI $10B Breach — 4TB Data via LiteLLM (Lapsus$ / TeamPCP)</t>
        </is>
      </c>
      <c r="D39" t="inlineStr">
        <is>
          <t>Risky Consumers</t>
        </is>
      </c>
      <c r="F39" t="inlineStr">
        <is>
          <t>Third-party Dependency</t>
        </is>
      </c>
      <c r="G39" t="inlineStr">
        <is>
          <t>CI/CD Toolchain</t>
        </is>
      </c>
      <c r="H39" t="inlineStr">
        <is>
          <t>SR2 - System Compromise</t>
        </is>
      </c>
      <c r="I39" t="inlineStr">
        <is>
          <t>SBOM Analysis, Access Control, Anomaly Monitoring</t>
        </is>
      </c>
      <c r="J39" t="inlineStr">
        <is>
          <t>In Review</t>
        </is>
      </c>
    </row>
    <row r="40">
      <c r="A40" t="inlineStr">
        <is>
          <t>2026-04-09</t>
        </is>
      </c>
      <c r="B40" t="inlineStr">
        <is>
          <t>2026-0409-009</t>
        </is>
      </c>
      <c r="C40" t="inlineStr">
        <is>
          <t>Trivy Scanner Compromise + Anthropic Source Code Leak (10-Day Wave)</t>
        </is>
      </c>
      <c r="D40" t="inlineStr">
        <is>
          <t>Risky Contributors</t>
        </is>
      </c>
      <c r="F40" t="inlineStr">
        <is>
          <t>Leak / Improper Disclosure</t>
        </is>
      </c>
      <c r="G40" t="inlineStr">
        <is>
          <t>Third-Party Libraries</t>
        </is>
      </c>
      <c r="H40" t="inlineStr">
        <is>
          <t>PR1 - Data Leakage</t>
        </is>
      </c>
      <c r="I40" t="inlineStr">
        <is>
          <t>Secure Coding, Access Control, SBOM</t>
        </is>
      </c>
      <c r="J40" t="inlineStr">
        <is>
          <t>In Review</t>
        </is>
      </c>
    </row>
    <row r="41">
      <c r="A41" t="inlineStr">
        <is>
          <t>2026-04-09</t>
        </is>
      </c>
      <c r="B41" t="inlineStr">
        <is>
          <t>2026-0409-010</t>
        </is>
      </c>
      <c r="C41" t="inlineStr">
        <is>
          <t>Fortinet CVE-2026-35616 Patched — Pre-Auth RCE (CVSS 9.1, CISA KEV)</t>
        </is>
      </c>
      <c r="D41" t="inlineStr">
        <is>
          <t>Risky Users</t>
        </is>
      </c>
      <c r="F41" t="inlineStr">
        <is>
          <t>Exploit Vulnerabilities</t>
        </is>
      </c>
      <c r="G41" t="inlineStr">
        <is>
          <t>Platform</t>
        </is>
      </c>
      <c r="H41" t="inlineStr">
        <is>
          <t>SR2 - System Compromise</t>
        </is>
      </c>
      <c r="I41" t="inlineStr">
        <is>
          <t>Patch Management, Vulnerability Scanning</t>
        </is>
      </c>
      <c r="J41" t="inlineStr">
        <is>
          <t>In Review</t>
        </is>
      </c>
    </row>
    <row r="42">
      <c r="A42" t="inlineStr">
        <is>
          <t>2026-04-09</t>
        </is>
      </c>
      <c r="B42" t="inlineStr">
        <is>
          <t>2026-0409-011</t>
        </is>
      </c>
      <c r="C42" t="inlineStr">
        <is>
          <t>Chrome Zero-Day CVE-2026-5281 — Use-After-Free in Dawn (4th in 2026)</t>
        </is>
      </c>
      <c r="D42" t="inlineStr">
        <is>
          <t>Risky Users</t>
        </is>
      </c>
      <c r="F42" t="inlineStr">
        <is>
          <t>Exploit Vulnerabilities</t>
        </is>
      </c>
      <c r="G42" t="inlineStr">
        <is>
          <t>Platform</t>
        </is>
      </c>
      <c r="H42" t="inlineStr">
        <is>
          <t>SR2 - System Compromise</t>
        </is>
      </c>
      <c r="I42" t="inlineStr">
        <is>
          <t>Patch Management</t>
        </is>
      </c>
      <c r="J42" t="inlineStr">
        <is>
          <t>In Review</t>
        </is>
      </c>
    </row>
    <row r="43">
      <c r="A43" t="inlineStr">
        <is>
          <t>2026-04-09</t>
        </is>
      </c>
      <c r="B43" t="inlineStr">
        <is>
          <t>2026-0409-012</t>
        </is>
      </c>
      <c r="C43" t="inlineStr">
        <is>
          <t>TrueConf Zero-Day CVE-2026-3502 — Tampered Update RCE (SE Asian Govts)</t>
        </is>
      </c>
      <c r="D43" t="inlineStr">
        <is>
          <t>Risky Users</t>
        </is>
      </c>
      <c r="F43" t="inlineStr">
        <is>
          <t>Exploit Vulnerabilities</t>
        </is>
      </c>
      <c r="G43" t="inlineStr">
        <is>
          <t>Platform</t>
        </is>
      </c>
      <c r="H43" t="inlineStr">
        <is>
          <t>SR2 - System Compromise</t>
        </is>
      </c>
      <c r="I43" t="inlineStr">
        <is>
          <t>Model Signatures, Integrity Verification</t>
        </is>
      </c>
      <c r="J43" t="inlineStr">
        <is>
          <t>In Review</t>
        </is>
      </c>
    </row>
    <row r="44">
      <c r="A44" t="inlineStr">
        <is>
          <t>2026-04-09</t>
        </is>
      </c>
      <c r="B44" t="inlineStr">
        <is>
          <t>2026-0409-013</t>
        </is>
      </c>
      <c r="C44" t="inlineStr">
        <is>
          <t>CareCloud Healthcare Breach — EHR Compromised, 8-Hour Outage</t>
        </is>
      </c>
      <c r="D44" t="inlineStr">
        <is>
          <t>Risky Consumers</t>
        </is>
      </c>
      <c r="F44" t="inlineStr">
        <is>
          <t>Unauthorized Data Access</t>
        </is>
      </c>
      <c r="G44" t="inlineStr">
        <is>
          <t>LLM Application</t>
        </is>
      </c>
      <c r="H44" t="inlineStr">
        <is>
          <t>PR1 - Data Leakage</t>
        </is>
      </c>
      <c r="I44" t="inlineStr">
        <is>
          <t>Access Control, Anomaly Monitoring</t>
        </is>
      </c>
      <c r="J44" t="inlineStr">
        <is>
          <t>In Review</t>
        </is>
      </c>
    </row>
    <row r="45">
      <c r="A45" t="inlineStr">
        <is>
          <t>2026-04-09</t>
        </is>
      </c>
      <c r="B45" t="inlineStr">
        <is>
          <t>2026-0409-014</t>
        </is>
      </c>
      <c r="C45" t="inlineStr">
        <is>
          <t>DragonForce Ransomware — AT Packaging Breach (April 7, 2026)</t>
        </is>
      </c>
      <c r="D45" t="inlineStr">
        <is>
          <t>Risky Users</t>
        </is>
      </c>
      <c r="F45" t="inlineStr">
        <is>
          <t>Ransomware Deployment</t>
        </is>
      </c>
      <c r="G45" t="inlineStr">
        <is>
          <t>LLM Application</t>
        </is>
      </c>
      <c r="H45" t="inlineStr">
        <is>
          <t>DR3 - Denial of Service</t>
        </is>
      </c>
      <c r="I45" t="inlineStr">
        <is>
          <t>Incident Response, Backup Recovery</t>
        </is>
      </c>
      <c r="J45" t="inlineStr">
        <is>
          <t>In Review</t>
        </is>
      </c>
    </row>
    <row r="46">
      <c r="A46" t="inlineStr">
        <is>
          <t>2026-04-09</t>
        </is>
      </c>
      <c r="B46" t="inlineStr">
        <is>
          <t>2026-0409-015</t>
        </is>
      </c>
      <c r="C46" t="inlineStr">
        <is>
          <t>April 2026 Ransomware Surge — 168 Victims / 43 Countries (Week 1)</t>
        </is>
      </c>
      <c r="D46" t="inlineStr">
        <is>
          <t>Risky Users</t>
        </is>
      </c>
      <c r="F46" t="inlineStr">
        <is>
          <t>Ransomware Deployment</t>
        </is>
      </c>
      <c r="G46" t="inlineStr">
        <is>
          <t>LLM Application</t>
        </is>
      </c>
      <c r="H46" t="inlineStr">
        <is>
          <t>DR3 - Denial of Service</t>
        </is>
      </c>
      <c r="I46" t="inlineStr">
        <is>
          <t>Incident Response, Anomaly Monitoring, Backup Recovery</t>
        </is>
      </c>
      <c r="J46" t="inlineStr">
        <is>
          <t>In Review</t>
        </is>
      </c>
    </row>
    <row r="47">
      <c r="A47" t="inlineStr">
        <is>
          <t>2026-04-09</t>
        </is>
      </c>
      <c r="B47" t="inlineStr">
        <is>
          <t>2026-0409-016</t>
        </is>
      </c>
      <c r="C47" t="inlineStr">
        <is>
          <t>NIST CAISI: AI Agent Red-Teaming Competition Insights</t>
        </is>
      </c>
      <c r="D47" t="inlineStr">
        <is>
          <t>N/A</t>
        </is>
      </c>
      <c r="F47" t="inlineStr">
        <is>
          <t>N/A</t>
        </is>
      </c>
      <c r="G47" t="inlineStr">
        <is>
          <t>N/A</t>
        </is>
      </c>
      <c r="H47" t="inlineStr">
        <is>
          <t>N/A</t>
        </is>
      </c>
      <c r="I47" t="inlineStr">
        <is>
          <t>Red Teaming, Adversarial Testing</t>
        </is>
      </c>
      <c r="J47" t="inlineStr">
        <is>
          <t>Monitoring</t>
        </is>
      </c>
    </row>
    <row r="48">
      <c r="A48" t="inlineStr">
        <is>
          <t>2026-04-09</t>
        </is>
      </c>
      <c r="B48" t="inlineStr">
        <is>
          <t>2026-0409-017</t>
        </is>
      </c>
      <c r="C48" t="inlineStr">
        <is>
          <t>OWASP MCP Top 10 Published — Security Standard for MCP</t>
        </is>
      </c>
      <c r="D48" t="inlineStr">
        <is>
          <t>N/A</t>
        </is>
      </c>
      <c r="F48" t="inlineStr">
        <is>
          <t>N/A</t>
        </is>
      </c>
      <c r="G48" t="inlineStr">
        <is>
          <t>N/A</t>
        </is>
      </c>
      <c r="H48" t="inlineStr">
        <is>
          <t>N/A</t>
        </is>
      </c>
      <c r="I48" t="inlineStr">
        <is>
          <t>Regulatory Compliance, Red Teaming</t>
        </is>
      </c>
      <c r="J48" t="inlineStr">
        <is>
          <t>Monitoring</t>
        </is>
      </c>
    </row>
    <row r="49">
      <c r="A49" t="inlineStr">
        <is>
          <t>2026-04-09</t>
        </is>
      </c>
      <c r="B49" t="inlineStr">
        <is>
          <t>2026-0409-018</t>
        </is>
      </c>
      <c r="C49" t="inlineStr">
        <is>
          <t>Votal AI RLHF Adversarial Attacker Model Launch (RSA 2026)</t>
        </is>
      </c>
      <c r="D49" t="inlineStr">
        <is>
          <t>N/A</t>
        </is>
      </c>
      <c r="F49" t="inlineStr">
        <is>
          <t>N/A</t>
        </is>
      </c>
      <c r="G49" t="inlineStr">
        <is>
          <t>N/A</t>
        </is>
      </c>
      <c r="H49" t="inlineStr">
        <is>
          <t>N/A</t>
        </is>
      </c>
      <c r="I49" t="inlineStr">
        <is>
          <t>Red Teaming, Adversarial Testing</t>
        </is>
      </c>
      <c r="J49" t="inlineStr">
        <is>
          <t>Monitoring</t>
        </is>
      </c>
    </row>
    <row r="50">
      <c r="A50" t="inlineStr">
        <is>
          <t>2026-04-10</t>
        </is>
      </c>
      <c r="B50" t="inlineStr">
        <is>
          <t>2026-0410-001</t>
        </is>
      </c>
      <c r="C50" t="inlineStr">
        <is>
          <t>Claude Mythos Preview — AI-Powered Zero-Day Discovery at Scale</t>
        </is>
      </c>
      <c r="D50" t="inlineStr">
        <is>
          <t>N/A</t>
        </is>
      </c>
      <c r="E50" t="inlineStr">
        <is>
          <t>N/A</t>
        </is>
      </c>
      <c r="F50" t="inlineStr">
        <is>
          <t>N/A</t>
        </is>
      </c>
      <c r="G50" t="inlineStr">
        <is>
          <t>N/A</t>
        </is>
      </c>
      <c r="H50" t="inlineStr">
        <is>
          <t>N/A</t>
        </is>
      </c>
      <c r="J50" t="inlineStr">
        <is>
          <t>Not Started</t>
        </is>
      </c>
    </row>
    <row r="51">
      <c r="A51" t="inlineStr">
        <is>
          <t>2026-04-10</t>
        </is>
      </c>
      <c r="B51" t="inlineStr">
        <is>
          <t>2026-0410-002</t>
        </is>
      </c>
      <c r="C51" t="inlineStr">
        <is>
          <t>Prompt Injection Surge — 340% Increase in 2026, 88% Success Rate</t>
        </is>
      </c>
      <c r="D51" t="inlineStr">
        <is>
          <t>N/A</t>
        </is>
      </c>
      <c r="E51" t="inlineStr">
        <is>
          <t>N/A</t>
        </is>
      </c>
      <c r="F51" t="inlineStr">
        <is>
          <t>N/A</t>
        </is>
      </c>
      <c r="G51" t="inlineStr">
        <is>
          <t>N/A</t>
        </is>
      </c>
      <c r="H51" t="inlineStr">
        <is>
          <t>N/A</t>
        </is>
      </c>
      <c r="J51" t="inlineStr">
        <is>
          <t>Not Started</t>
        </is>
      </c>
    </row>
    <row r="52">
      <c r="A52" t="inlineStr">
        <is>
          <t>2026-04-10</t>
        </is>
      </c>
      <c r="B52" t="inlineStr">
        <is>
          <t>2026-0410-003</t>
        </is>
      </c>
      <c r="C52" t="inlineStr">
        <is>
          <t>MCP Defense-Placement Taxonomy (arXiv:2604.07551)</t>
        </is>
      </c>
      <c r="D52" t="inlineStr">
        <is>
          <t>N/A</t>
        </is>
      </c>
      <c r="E52" t="inlineStr">
        <is>
          <t>N/A</t>
        </is>
      </c>
      <c r="F52" t="inlineStr">
        <is>
          <t>N/A</t>
        </is>
      </c>
      <c r="G52" t="inlineStr">
        <is>
          <t>N/A</t>
        </is>
      </c>
      <c r="H52" t="inlineStr">
        <is>
          <t>N/A</t>
        </is>
      </c>
      <c r="J52" t="inlineStr">
        <is>
          <t>Not Started</t>
        </is>
      </c>
    </row>
    <row r="53">
      <c r="A53" t="inlineStr">
        <is>
          <t>2026-04-10</t>
        </is>
      </c>
      <c r="B53" t="inlineStr">
        <is>
          <t>2026-0410-004</t>
        </is>
      </c>
      <c r="C53" t="inlineStr">
        <is>
          <t>Agentic AI #1 Attack Vector — 70% Enterprise Incident Rate</t>
        </is>
      </c>
      <c r="D53" t="inlineStr">
        <is>
          <t>N/A</t>
        </is>
      </c>
      <c r="E53" t="inlineStr">
        <is>
          <t>N/A</t>
        </is>
      </c>
      <c r="F53" t="inlineStr">
        <is>
          <t>N/A</t>
        </is>
      </c>
      <c r="G53" t="inlineStr">
        <is>
          <t>N/A</t>
        </is>
      </c>
      <c r="H53" t="inlineStr">
        <is>
          <t>N/A</t>
        </is>
      </c>
      <c r="J53" t="inlineStr">
        <is>
          <t>Not Started</t>
        </is>
      </c>
    </row>
    <row r="54">
      <c r="A54" t="inlineStr">
        <is>
          <t>2026-04-10</t>
        </is>
      </c>
      <c r="B54" t="inlineStr">
        <is>
          <t>2026-0410-005</t>
        </is>
      </c>
      <c r="C54" t="inlineStr">
        <is>
          <t>MCP Server Supply Chain — 67,057 Servers Audited, Widespread Hijackability</t>
        </is>
      </c>
      <c r="D54" t="inlineStr">
        <is>
          <t>N/A</t>
        </is>
      </c>
      <c r="E54" t="inlineStr">
        <is>
          <t>N/A</t>
        </is>
      </c>
      <c r="F54" t="inlineStr">
        <is>
          <t>N/A</t>
        </is>
      </c>
      <c r="G54" t="inlineStr">
        <is>
          <t>N/A</t>
        </is>
      </c>
      <c r="H54" t="inlineStr">
        <is>
          <t>N/A</t>
        </is>
      </c>
      <c r="J54" t="inlineStr">
        <is>
          <t>Not Started</t>
        </is>
      </c>
    </row>
    <row r="55">
      <c r="A55" t="inlineStr">
        <is>
          <t>2026-04-10</t>
        </is>
      </c>
      <c r="B55" t="inlineStr">
        <is>
          <t>2026-0410-006</t>
        </is>
      </c>
      <c r="C55" t="inlineStr">
        <is>
          <t>LLM Security Risk Landscape 2026 — Shadow AI, RAG, and Memory Attacks</t>
        </is>
      </c>
      <c r="D55" t="inlineStr">
        <is>
          <t>N/A</t>
        </is>
      </c>
      <c r="E55" t="inlineStr">
        <is>
          <t>N/A</t>
        </is>
      </c>
      <c r="F55" t="inlineStr">
        <is>
          <t>N/A</t>
        </is>
      </c>
      <c r="G55" t="inlineStr">
        <is>
          <t>N/A</t>
        </is>
      </c>
      <c r="H55" t="inlineStr">
        <is>
          <t>N/A</t>
        </is>
      </c>
      <c r="J55" t="inlineStr">
        <is>
          <t>Not Started</t>
        </is>
      </c>
    </row>
    <row r="56">
      <c r="A56" t="inlineStr">
        <is>
          <t>2026-04-10</t>
        </is>
      </c>
      <c r="B56" t="inlineStr">
        <is>
          <t>2026-0410-007</t>
        </is>
      </c>
      <c r="C56" t="inlineStr">
        <is>
          <t>Trivy Supply Chain Attack — European Commission 300GB Breach via TeamPCP</t>
        </is>
      </c>
      <c r="D56" t="inlineStr">
        <is>
          <t>Vendor</t>
        </is>
      </c>
      <c r="E56" t="inlineStr">
        <is>
          <t>Security Tool Provider</t>
        </is>
      </c>
      <c r="F56" t="inlineStr">
        <is>
          <t>Compromised Distribution</t>
        </is>
      </c>
      <c r="G56" t="inlineStr">
        <is>
          <t>Distribution</t>
        </is>
      </c>
      <c r="H56" t="inlineStr">
        <is>
          <t>Security Risk</t>
        </is>
      </c>
      <c r="J56" t="inlineStr">
        <is>
          <t>Not Started</t>
        </is>
      </c>
    </row>
    <row r="57">
      <c r="A57" t="inlineStr">
        <is>
          <t>2026-04-10</t>
        </is>
      </c>
      <c r="B57" t="inlineStr">
        <is>
          <t>2026-0410-008</t>
        </is>
      </c>
      <c r="C57" t="inlineStr">
        <is>
          <t>Axios NPM + LiteLLM + Trivy — Cascading Supply Chain Wave Continues</t>
        </is>
      </c>
      <c r="D57" t="inlineStr">
        <is>
          <t>Vendor</t>
        </is>
      </c>
      <c r="E57" t="inlineStr">
        <is>
          <t>OSS/Library Provider</t>
        </is>
      </c>
      <c r="F57" t="inlineStr">
        <is>
          <t>Compromised Packages</t>
        </is>
      </c>
      <c r="G57" t="inlineStr">
        <is>
          <t>Distribution</t>
        </is>
      </c>
      <c r="H57" t="inlineStr">
        <is>
          <t>Security Risk</t>
        </is>
      </c>
      <c r="J57" t="inlineStr">
        <is>
          <t>Not Started</t>
        </is>
      </c>
    </row>
    <row r="58">
      <c r="A58" t="inlineStr">
        <is>
          <t>2026-04-10</t>
        </is>
      </c>
      <c r="B58" t="inlineStr">
        <is>
          <t>2026-0410-009</t>
        </is>
      </c>
      <c r="C58" t="inlineStr">
        <is>
          <t>Mercor AI $10B Breach — 4TB Exfiltrated, Class Action Filed</t>
        </is>
      </c>
      <c r="D58" t="inlineStr">
        <is>
          <t>Vendor</t>
        </is>
      </c>
      <c r="E58" t="inlineStr">
        <is>
          <t>AI/ML Service Provider</t>
        </is>
      </c>
      <c r="F58" t="inlineStr">
        <is>
          <t>Data Breach</t>
        </is>
      </c>
      <c r="G58" t="inlineStr">
        <is>
          <t>Development</t>
        </is>
      </c>
      <c r="H58" t="inlineStr">
        <is>
          <t>Privacy Risk</t>
        </is>
      </c>
      <c r="J58" t="inlineStr">
        <is>
          <t>Not Started</t>
        </is>
      </c>
    </row>
    <row r="59">
      <c r="A59" t="inlineStr">
        <is>
          <t>2026-04-10</t>
        </is>
      </c>
      <c r="B59" t="inlineStr">
        <is>
          <t>2026-0410-010</t>
        </is>
      </c>
      <c r="C59" t="inlineStr">
        <is>
          <t>Fortinet FortiClient EMS CVE-2026-35616 — Pre-Auth RCE (CVSS 9.8)</t>
        </is>
      </c>
      <c r="D59" t="inlineStr">
        <is>
          <t>Vendor</t>
        </is>
      </c>
      <c r="E59" t="inlineStr">
        <is>
          <t>Security Platform Provider</t>
        </is>
      </c>
      <c r="F59" t="inlineStr">
        <is>
          <t>Unpatched Vulnerability</t>
        </is>
      </c>
      <c r="G59" t="inlineStr">
        <is>
          <t>Deployment</t>
        </is>
      </c>
      <c r="H59" t="inlineStr">
        <is>
          <t>Security Risk</t>
        </is>
      </c>
      <c r="J59" t="inlineStr">
        <is>
          <t>Not Started</t>
        </is>
      </c>
    </row>
    <row r="60">
      <c r="A60" t="inlineStr">
        <is>
          <t>2026-04-10</t>
        </is>
      </c>
      <c r="B60" t="inlineStr">
        <is>
          <t>2026-0410-011</t>
        </is>
      </c>
      <c r="C60" t="inlineStr">
        <is>
          <t>Chrome Zero-Day CVE-2026-5281 + CVE-2026-2441 — 4th &amp; 5th Exploited in 2026</t>
        </is>
      </c>
      <c r="D60" t="inlineStr">
        <is>
          <t>Vendor</t>
        </is>
      </c>
      <c r="E60" t="inlineStr">
        <is>
          <t>Browser Provider</t>
        </is>
      </c>
      <c r="F60" t="inlineStr">
        <is>
          <t>Unpatched Zero-Day</t>
        </is>
      </c>
      <c r="G60" t="inlineStr">
        <is>
          <t>Deployment</t>
        </is>
      </c>
      <c r="H60" t="inlineStr">
        <is>
          <t>Security Risk</t>
        </is>
      </c>
      <c r="J60" t="inlineStr">
        <is>
          <t>Not Started</t>
        </is>
      </c>
    </row>
    <row r="61">
      <c r="A61" t="inlineStr">
        <is>
          <t>2026-04-10</t>
        </is>
      </c>
      <c r="B61" t="inlineStr">
        <is>
          <t>2026-0410-012</t>
        </is>
      </c>
      <c r="C61" t="inlineStr">
        <is>
          <t>TrueConf CVE-2026-3502 — SE Asian Government Network Espionage</t>
        </is>
      </c>
      <c r="D61" t="inlineStr">
        <is>
          <t>Vendor</t>
        </is>
      </c>
      <c r="E61" t="inlineStr">
        <is>
          <t>Communication Platform Provider</t>
        </is>
      </c>
      <c r="F61" t="inlineStr">
        <is>
          <t>Supply Chain Compromise</t>
        </is>
      </c>
      <c r="G61" t="inlineStr">
        <is>
          <t>Distribution</t>
        </is>
      </c>
      <c r="H61" t="inlineStr">
        <is>
          <t>Security Risk</t>
        </is>
      </c>
      <c r="J61" t="inlineStr">
        <is>
          <t>Not Started</t>
        </is>
      </c>
    </row>
    <row r="62">
      <c r="A62" t="inlineStr">
        <is>
          <t>2026-04-10</t>
        </is>
      </c>
      <c r="B62" t="inlineStr">
        <is>
          <t>2026-0410-013</t>
        </is>
      </c>
      <c r="C62" t="inlineStr">
        <is>
          <t>Healthcare Breach Cluster — CareCloud, ChipSoft, Interlock (3 in 10 Days)</t>
        </is>
      </c>
      <c r="D62" t="inlineStr">
        <is>
          <t>Customer</t>
        </is>
      </c>
      <c r="E62" t="inlineStr">
        <is>
          <t>Healthcare Provider</t>
        </is>
      </c>
      <c r="F62" t="inlineStr">
        <is>
          <t>Inadequate Security Controls</t>
        </is>
      </c>
      <c r="G62" t="inlineStr">
        <is>
          <t>Delivery</t>
        </is>
      </c>
      <c r="H62" t="inlineStr">
        <is>
          <t>Privacy Risk</t>
        </is>
      </c>
      <c r="J62" t="inlineStr">
        <is>
          <t>Not Started</t>
        </is>
      </c>
    </row>
    <row r="63">
      <c r="A63" t="inlineStr">
        <is>
          <t>2026-04-10</t>
        </is>
      </c>
      <c r="B63" t="inlineStr">
        <is>
          <t>2026-0410-014</t>
        </is>
      </c>
      <c r="C63" t="inlineStr">
        <is>
          <t>April 2026 Ransomware Acceleration — 168 Victims, 43 Countries, Week 1</t>
        </is>
      </c>
      <c r="D63" t="inlineStr">
        <is>
          <t>Customer</t>
        </is>
      </c>
      <c r="E63" t="inlineStr">
        <is>
          <t>End User</t>
        </is>
      </c>
      <c r="F63" t="inlineStr">
        <is>
          <t>Ransomware Infection</t>
        </is>
      </c>
      <c r="G63" t="inlineStr">
        <is>
          <t>Delivery</t>
        </is>
      </c>
      <c r="H63" t="inlineStr">
        <is>
          <t>Security Risk</t>
        </is>
      </c>
      <c r="J63" t="inlineStr">
        <is>
          <t>Not Started</t>
        </is>
      </c>
    </row>
    <row r="64">
      <c r="A64" t="inlineStr">
        <is>
          <t>2026-04-10</t>
        </is>
      </c>
      <c r="B64" t="inlineStr">
        <is>
          <t>2026-0410-015</t>
        </is>
      </c>
      <c r="C64" t="inlineStr">
        <is>
          <t>Adobe 13M Support Ticket &amp; Bug Bounty Data Breach</t>
        </is>
      </c>
      <c r="D64" t="inlineStr">
        <is>
          <t>Vendor</t>
        </is>
      </c>
      <c r="E64" t="inlineStr">
        <is>
          <t>SaaS Provider</t>
        </is>
      </c>
      <c r="F64" t="inlineStr">
        <is>
          <t>Data Breach</t>
        </is>
      </c>
      <c r="G64" t="inlineStr">
        <is>
          <t>Development</t>
        </is>
      </c>
      <c r="H64" t="inlineStr">
        <is>
          <t>Privacy Risk</t>
        </is>
      </c>
      <c r="J64" t="inlineStr">
        <is>
          <t>Not Started</t>
        </is>
      </c>
    </row>
    <row r="65">
      <c r="A65" t="inlineStr">
        <is>
          <t>2026-04-10</t>
        </is>
      </c>
      <c r="B65" t="inlineStr">
        <is>
          <t>2026-0410-016</t>
        </is>
      </c>
      <c r="C65" t="inlineStr">
        <is>
          <t>NIST AI Red Teaming Protocol Standardization for Health AI</t>
        </is>
      </c>
      <c r="D65" t="inlineStr">
        <is>
          <t>N/A</t>
        </is>
      </c>
      <c r="E65" t="inlineStr">
        <is>
          <t>N/A</t>
        </is>
      </c>
      <c r="F65" t="inlineStr">
        <is>
          <t>N/A</t>
        </is>
      </c>
      <c r="G65" t="inlineStr">
        <is>
          <t>N/A</t>
        </is>
      </c>
      <c r="H65" t="inlineStr">
        <is>
          <t>N/A</t>
        </is>
      </c>
      <c r="J65" t="inlineStr">
        <is>
          <t>Not Started</t>
        </is>
      </c>
    </row>
    <row r="66">
      <c r="A66" t="inlineStr">
        <is>
          <t>2026-04-10</t>
        </is>
      </c>
      <c r="B66" t="inlineStr">
        <is>
          <t>2026-0410-017</t>
        </is>
      </c>
      <c r="C66" t="inlineStr">
        <is>
          <t>OWASP GenAI Red Teaming Guide v2.0 &amp; LLM Security Guide Updates</t>
        </is>
      </c>
      <c r="D66" t="inlineStr">
        <is>
          <t>N/A</t>
        </is>
      </c>
      <c r="E66" t="inlineStr">
        <is>
          <t>N/A</t>
        </is>
      </c>
      <c r="F66" t="inlineStr">
        <is>
          <t>N/A</t>
        </is>
      </c>
      <c r="G66" t="inlineStr">
        <is>
          <t>N/A</t>
        </is>
      </c>
      <c r="H66" t="inlineStr">
        <is>
          <t>N/A</t>
        </is>
      </c>
      <c r="J66" t="inlineStr">
        <is>
          <t>Not Started</t>
        </is>
      </c>
    </row>
    <row r="67">
      <c r="A67" t="inlineStr">
        <is>
          <t>2026-04-13</t>
        </is>
      </c>
      <c r="B67" t="inlineStr">
        <is>
          <t>2026-0413-001</t>
        </is>
      </c>
      <c r="C67" t="inlineStr">
        <is>
          <t>CVE-2026-23744 — MCPJam Inspector RCE (CVSS 9.8)</t>
        </is>
      </c>
      <c r="D67" t="inlineStr">
        <is>
          <t>Risky Administrators</t>
        </is>
      </c>
      <c r="E67" t="inlineStr">
        <is>
          <t>Insecure Configuration</t>
        </is>
      </c>
      <c r="F67" t="inlineStr">
        <is>
          <t>Insecure Configuration</t>
        </is>
      </c>
      <c r="G67" t="inlineStr">
        <is>
          <t>Model Development Toolchain</t>
        </is>
      </c>
      <c r="H67" t="inlineStr">
        <is>
          <t>SR2 - System Compromise</t>
        </is>
      </c>
      <c r="I67" t="inlineStr">
        <is>
          <t>Patch Management, Secure Auditing</t>
        </is>
      </c>
      <c r="J67" t="inlineStr">
        <is>
          <t>Not Started</t>
        </is>
      </c>
    </row>
    <row r="68">
      <c r="A68" t="inlineStr">
        <is>
          <t>2026-04-13</t>
        </is>
      </c>
      <c r="B68" t="inlineStr">
        <is>
          <t>2026-0413-002</t>
        </is>
      </c>
      <c r="C68" t="inlineStr">
        <is>
          <t>GitHub MCP Integration Agent Hijack via Malicious Issues</t>
        </is>
      </c>
      <c r="D68" t="inlineStr">
        <is>
          <t>Risky Users</t>
        </is>
      </c>
      <c r="E68" t="inlineStr">
        <is>
          <t>Prompt Injection</t>
        </is>
      </c>
      <c r="F68" t="inlineStr">
        <is>
          <t>Prompt Injection</t>
        </is>
      </c>
      <c r="G68" t="inlineStr">
        <is>
          <t>LLM Prompts</t>
        </is>
      </c>
      <c r="H68" t="inlineStr">
        <is>
          <t>SR3 - Abnormal Content</t>
        </is>
      </c>
      <c r="I68" t="inlineStr">
        <is>
          <t>Prompt Sanitization, Session Isolation</t>
        </is>
      </c>
      <c r="J68" t="inlineStr">
        <is>
          <t>Not Started</t>
        </is>
      </c>
    </row>
    <row r="69">
      <c r="A69" t="inlineStr">
        <is>
          <t>2026-04-13</t>
        </is>
      </c>
      <c r="B69" t="inlineStr">
        <is>
          <t>2026-0413-003</t>
        </is>
      </c>
      <c r="C69" t="inlineStr">
        <is>
          <t>OWASP Top 10 for Agentic Applications 2026 — New Autonomous Risks</t>
        </is>
      </c>
      <c r="D69" t="inlineStr">
        <is>
          <t>Risky Administrators</t>
        </is>
      </c>
      <c r="E69" t="inlineStr">
        <is>
          <t>Insufficient Security Controls</t>
        </is>
      </c>
      <c r="F69" t="inlineStr">
        <is>
          <t>Insufficient Security Controls</t>
        </is>
      </c>
      <c r="G69" t="inlineStr">
        <is>
          <t>Platform</t>
        </is>
      </c>
      <c r="H69" t="inlineStr">
        <is>
          <t>SR2 - System Compromise</t>
        </is>
      </c>
      <c r="I69" t="inlineStr">
        <is>
          <t>Security Assessment, Governance</t>
        </is>
      </c>
      <c r="J69" t="inlineStr">
        <is>
          <t>Not Started</t>
        </is>
      </c>
    </row>
    <row r="70">
      <c r="A70" t="inlineStr">
        <is>
          <t>2026-04-13</t>
        </is>
      </c>
      <c r="B70" t="inlineStr">
        <is>
          <t>2026-0413-004</t>
        </is>
      </c>
      <c r="C70" t="inlineStr">
        <is>
          <t>LLMjacking Campaign Escalation — Exposed Endpoint Hijacking at Scale</t>
        </is>
      </c>
      <c r="D70" t="inlineStr">
        <is>
          <t>Risky Administrators</t>
        </is>
      </c>
      <c r="E70" t="inlineStr">
        <is>
          <t>Insecure Configuration</t>
        </is>
      </c>
      <c r="F70" t="inlineStr">
        <is>
          <t>Insecure Configuration</t>
        </is>
      </c>
      <c r="G70" t="inlineStr">
        <is>
          <t>LLM Application</t>
        </is>
      </c>
      <c r="H70" t="inlineStr">
        <is>
          <t>SR2 - System Compromise</t>
        </is>
      </c>
      <c r="I70" t="inlineStr">
        <is>
          <t>Access Control, Anomaly Monitoring</t>
        </is>
      </c>
      <c r="J70" t="inlineStr">
        <is>
          <t>Not Started</t>
        </is>
      </c>
    </row>
    <row r="71">
      <c r="A71" t="inlineStr">
        <is>
          <t>2026-04-13</t>
        </is>
      </c>
      <c r="B71" t="inlineStr">
        <is>
          <t>2026-0413-005</t>
        </is>
      </c>
      <c r="C71" t="inlineStr">
        <is>
          <t>AI Agent 'Lethal Trifecta' — Privileged Access + Untrusted Input + Public Output</t>
        </is>
      </c>
      <c r="D71" t="inlineStr">
        <is>
          <t>Risky Users</t>
        </is>
      </c>
      <c r="E71" t="inlineStr">
        <is>
          <t>Prompt Injection</t>
        </is>
      </c>
      <c r="F71" t="inlineStr">
        <is>
          <t>Prompt Injection</t>
        </is>
      </c>
      <c r="G71" t="inlineStr">
        <is>
          <t>LLM Prompts</t>
        </is>
      </c>
      <c r="H71" t="inlineStr">
        <is>
          <t>SR3 - Abnormal Content</t>
        </is>
      </c>
      <c r="I71" t="inlineStr">
        <is>
          <t>Session Isolation, Secure Coding</t>
        </is>
      </c>
      <c r="J71" t="inlineStr">
        <is>
          <t>Not Started</t>
        </is>
      </c>
    </row>
    <row r="72">
      <c r="A72" t="inlineStr">
        <is>
          <t>2026-04-13</t>
        </is>
      </c>
      <c r="B72" t="inlineStr">
        <is>
          <t>2026-0413-006</t>
        </is>
      </c>
      <c r="C72" t="inlineStr">
        <is>
          <t>Shadow AI Now #1 Enterprise Data Leakage Vector in 2026</t>
        </is>
      </c>
      <c r="D72" t="inlineStr">
        <is>
          <t>Risky Consumers</t>
        </is>
      </c>
      <c r="E72" t="inlineStr">
        <is>
          <t>Unauthorized Data Sharing</t>
        </is>
      </c>
      <c r="F72" t="inlineStr">
        <is>
          <t>Unauthorized Data Sharing</t>
        </is>
      </c>
      <c r="G72" t="inlineStr">
        <is>
          <t>Training Dataset</t>
        </is>
      </c>
      <c r="H72" t="inlineStr">
        <is>
          <t>PR1 - Data Leakage</t>
        </is>
      </c>
      <c r="I72" t="inlineStr">
        <is>
          <t>Data Sanitization, Access Control</t>
        </is>
      </c>
      <c r="J72" t="inlineStr">
        <is>
          <t>Not Started</t>
        </is>
      </c>
    </row>
    <row r="73">
      <c r="A73" t="inlineStr">
        <is>
          <t>2026-04-13</t>
        </is>
      </c>
      <c r="B73" t="inlineStr">
        <is>
          <t>2026-0413-007</t>
        </is>
      </c>
      <c r="C73" t="inlineStr">
        <is>
          <t>TeamPCP / Lapsus$ Supply Chain Wave — Hundreds of Thousands of Stolen Secrets</t>
        </is>
      </c>
      <c r="D73" t="inlineStr">
        <is>
          <t>Risky Contributors</t>
        </is>
      </c>
      <c r="E73" t="inlineStr">
        <is>
          <t>Implant Malicious Code</t>
        </is>
      </c>
      <c r="F73" t="inlineStr">
        <is>
          <t>Implant Malicious Code</t>
        </is>
      </c>
      <c r="G73" t="inlineStr">
        <is>
          <t>Third-Party Libraries</t>
        </is>
      </c>
      <c r="H73" t="inlineStr">
        <is>
          <t>SR2 - System Compromise</t>
        </is>
      </c>
      <c r="I73" t="inlineStr">
        <is>
          <t>SBOM Analysis, Malware Detection, Access Control</t>
        </is>
      </c>
      <c r="J73" t="inlineStr">
        <is>
          <t>Not Started</t>
        </is>
      </c>
    </row>
    <row r="74">
      <c r="A74" t="inlineStr">
        <is>
          <t>2026-04-13</t>
        </is>
      </c>
      <c r="B74" t="inlineStr">
        <is>
          <t>2026-0413-008</t>
        </is>
      </c>
      <c r="C74" t="inlineStr">
        <is>
          <t>Open Source Malware Up 73% — AI Development Pipelines Targeted</t>
        </is>
      </c>
      <c r="D74" t="inlineStr">
        <is>
          <t>Risky Contributors</t>
        </is>
      </c>
      <c r="E74" t="inlineStr">
        <is>
          <t>Implant Malicious Code</t>
        </is>
      </c>
      <c r="F74" t="inlineStr">
        <is>
          <t>Implant Malicious Code</t>
        </is>
      </c>
      <c r="G74" t="inlineStr">
        <is>
          <t>Third-Party Libraries</t>
        </is>
      </c>
      <c r="H74" t="inlineStr">
        <is>
          <t>SR2 - System Compromise</t>
        </is>
      </c>
      <c r="I74" t="inlineStr">
        <is>
          <t>SBOM Analysis, Malware Detection</t>
        </is>
      </c>
      <c r="J74" t="inlineStr">
        <is>
          <t>Not Started</t>
        </is>
      </c>
    </row>
    <row r="75">
      <c r="A75" t="inlineStr">
        <is>
          <t>2026-04-13</t>
        </is>
      </c>
      <c r="B75" t="inlineStr">
        <is>
          <t>2026-0413-009</t>
        </is>
      </c>
      <c r="C75" t="inlineStr">
        <is>
          <t>European Commission Trivy Breach — CERT-EU Confirms Initial Access Vector</t>
        </is>
      </c>
      <c r="D75" t="inlineStr">
        <is>
          <t>Risky Contributors</t>
        </is>
      </c>
      <c r="E75" t="inlineStr">
        <is>
          <t>Implant Malicious Code</t>
        </is>
      </c>
      <c r="F75" t="inlineStr">
        <is>
          <t>Implant Malicious Code</t>
        </is>
      </c>
      <c r="G75" t="inlineStr">
        <is>
          <t>CI/CD Toolchain</t>
        </is>
      </c>
      <c r="H75" t="inlineStr">
        <is>
          <t>SR2 - System Compromise</t>
        </is>
      </c>
      <c r="I75" t="inlineStr">
        <is>
          <t>SBOM Analysis, Malware Detection, Anomaly Monitoring</t>
        </is>
      </c>
      <c r="J75" t="inlineStr">
        <is>
          <t>Not Started</t>
        </is>
      </c>
    </row>
    <row r="76">
      <c r="A76" t="inlineStr">
        <is>
          <t>2026-04-13</t>
        </is>
      </c>
      <c r="B76" t="inlineStr">
        <is>
          <t>2026-0413-010</t>
        </is>
      </c>
      <c r="C76" t="inlineStr">
        <is>
          <t>Drift Protocol $285M Heist — DPRK Social Engineering Campaign</t>
        </is>
      </c>
      <c r="D76" t="inlineStr">
        <is>
          <t>Risky Users</t>
        </is>
      </c>
      <c r="E76" t="inlineStr">
        <is>
          <t>Social Engineering</t>
        </is>
      </c>
      <c r="F76" t="inlineStr">
        <is>
          <t>Social Engineering</t>
        </is>
      </c>
      <c r="G76" t="inlineStr">
        <is>
          <t>Platform</t>
        </is>
      </c>
      <c r="H76" t="inlineStr">
        <is>
          <t>SR2 - System Compromise</t>
        </is>
      </c>
      <c r="I76" t="inlineStr">
        <is>
          <t>Access Control, Security Awareness</t>
        </is>
      </c>
      <c r="J76" t="inlineStr">
        <is>
          <t>Not Started</t>
        </is>
      </c>
    </row>
    <row r="77">
      <c r="A77" t="inlineStr">
        <is>
          <t>2026-04-13</t>
        </is>
      </c>
      <c r="B77" t="inlineStr">
        <is>
          <t>2026-0413-011</t>
        </is>
      </c>
      <c r="C77" t="inlineStr">
        <is>
          <t>CPUID Website Compromise — CPU-Z &amp; HWMonitor Download Hijack</t>
        </is>
      </c>
      <c r="D77" t="inlineStr">
        <is>
          <t>Risky Contributors</t>
        </is>
      </c>
      <c r="E77" t="inlineStr">
        <is>
          <t>Implant Malicious Code</t>
        </is>
      </c>
      <c r="F77" t="inlineStr">
        <is>
          <t>Implant Malicious Code</t>
        </is>
      </c>
      <c r="G77" t="inlineStr">
        <is>
          <t>Third-Party Libraries</t>
        </is>
      </c>
      <c r="H77" t="inlineStr">
        <is>
          <t>SR2 - System Compromise</t>
        </is>
      </c>
      <c r="I77" t="inlineStr">
        <is>
          <t>Model Signatures, Integrity Verification</t>
        </is>
      </c>
      <c r="J77" t="inlineStr">
        <is>
          <t>Not Started</t>
        </is>
      </c>
    </row>
    <row r="78">
      <c r="A78" t="inlineStr">
        <is>
          <t>2026-04-13</t>
        </is>
      </c>
      <c r="B78" t="inlineStr">
        <is>
          <t>2026-0413-012</t>
        </is>
      </c>
      <c r="C78" t="inlineStr">
        <is>
          <t>Gritman Medical Ransomware — Multi-Clinic Outage Across Idaho</t>
        </is>
      </c>
      <c r="D78" t="inlineStr">
        <is>
          <t>Risky Users</t>
        </is>
      </c>
      <c r="E78" t="inlineStr">
        <is>
          <t>Ransomware Deployment</t>
        </is>
      </c>
      <c r="F78" t="inlineStr">
        <is>
          <t>Ransomware Deployment</t>
        </is>
      </c>
      <c r="G78" t="inlineStr">
        <is>
          <t>LLM Application</t>
        </is>
      </c>
      <c r="H78" t="inlineStr">
        <is>
          <t>DR3 - Denial of Service</t>
        </is>
      </c>
      <c r="I78" t="inlineStr">
        <is>
          <t>Incident Response, Backup Recovery</t>
        </is>
      </c>
      <c r="J78" t="inlineStr">
        <is>
          <t>Not Started</t>
        </is>
      </c>
    </row>
    <row r="79">
      <c r="A79" t="inlineStr">
        <is>
          <t>2026-04-13</t>
        </is>
      </c>
      <c r="B79" t="inlineStr">
        <is>
          <t>2026-0413-013</t>
        </is>
      </c>
      <c r="C79" t="inlineStr">
        <is>
          <t>Hasbro IT Systems Breached — Data Stolen, Operations Disrupted</t>
        </is>
      </c>
      <c r="D79" t="inlineStr">
        <is>
          <t>Risky Consumers</t>
        </is>
      </c>
      <c r="E79" t="inlineStr">
        <is>
          <t>Unauthorized Data Access</t>
        </is>
      </c>
      <c r="F79" t="inlineStr">
        <is>
          <t>Unauthorized Data Access</t>
        </is>
      </c>
      <c r="G79" t="inlineStr">
        <is>
          <t>LLM Application</t>
        </is>
      </c>
      <c r="H79" t="inlineStr">
        <is>
          <t>PR1 - Data Leakage</t>
        </is>
      </c>
      <c r="I79" t="inlineStr">
        <is>
          <t>Access Control, Anomaly Monitoring</t>
        </is>
      </c>
      <c r="J79" t="inlineStr">
        <is>
          <t>Not Started</t>
        </is>
      </c>
    </row>
    <row r="80">
      <c r="A80" t="inlineStr">
        <is>
          <t>2026-04-13</t>
        </is>
      </c>
      <c r="B80" t="inlineStr">
        <is>
          <t>2026-0413-014</t>
        </is>
      </c>
      <c r="C80" t="inlineStr">
        <is>
          <t>Handala Ransomware Group Surge — 23+ Victims, Multi-Sector Acceleration</t>
        </is>
      </c>
      <c r="D80" t="inlineStr">
        <is>
          <t>Risky Users</t>
        </is>
      </c>
      <c r="E80" t="inlineStr">
        <is>
          <t>Ransomware Deployment</t>
        </is>
      </c>
      <c r="F80" t="inlineStr">
        <is>
          <t>Ransomware Deployment</t>
        </is>
      </c>
      <c r="G80" t="inlineStr">
        <is>
          <t>LLM Application</t>
        </is>
      </c>
      <c r="H80" t="inlineStr">
        <is>
          <t>DR3 - Denial of Service</t>
        </is>
      </c>
      <c r="I80" t="inlineStr">
        <is>
          <t>Incident Response, Anomaly Monitoring, Backup Recovery</t>
        </is>
      </c>
      <c r="J80" t="inlineStr">
        <is>
          <t>Not Started</t>
        </is>
      </c>
    </row>
    <row r="81">
      <c r="A81" t="inlineStr">
        <is>
          <t>2026-04-13</t>
        </is>
      </c>
      <c r="B81" t="inlineStr">
        <is>
          <t>2026-0413-015</t>
        </is>
      </c>
      <c r="C81" t="inlineStr">
        <is>
          <t>Hong Kong Hospital Authority Patient Data Leak on Third-Party Platform</t>
        </is>
      </c>
      <c r="D81" t="inlineStr">
        <is>
          <t>Risky Consumers</t>
        </is>
      </c>
      <c r="E81" t="inlineStr">
        <is>
          <t>Unauthorized Data Access</t>
        </is>
      </c>
      <c r="F81" t="inlineStr">
        <is>
          <t>Unauthorized Data Access</t>
        </is>
      </c>
      <c r="G81" t="inlineStr">
        <is>
          <t>LLM Application</t>
        </is>
      </c>
      <c r="H81" t="inlineStr">
        <is>
          <t>PR1 - Data Leakage</t>
        </is>
      </c>
      <c r="I81" t="inlineStr">
        <is>
          <t>Access Control, Anomaly Monitoring</t>
        </is>
      </c>
      <c r="J81" t="inlineStr">
        <is>
          <t>Not Started</t>
        </is>
      </c>
    </row>
    <row r="82">
      <c r="A82" t="inlineStr">
        <is>
          <t>2026-04-13</t>
        </is>
      </c>
      <c r="B82" t="inlineStr">
        <is>
          <t>2026-0413-016</t>
        </is>
      </c>
      <c r="C82" t="inlineStr">
        <is>
          <t>AI Security Solutions Landscape Q2 2026 — OWASP GenAI Project</t>
        </is>
      </c>
      <c r="D82" t="inlineStr">
        <is>
          <t>N/A</t>
        </is>
      </c>
      <c r="E82" t="inlineStr">
        <is>
          <t>N/A</t>
        </is>
      </c>
      <c r="F82" t="inlineStr">
        <is>
          <t>N/A</t>
        </is>
      </c>
      <c r="G82" t="inlineStr">
        <is>
          <t>N/A</t>
        </is>
      </c>
      <c r="H82" t="inlineStr">
        <is>
          <t>N/A</t>
        </is>
      </c>
      <c r="I82" t="inlineStr">
        <is>
          <t>Red Teaming, Adversarial Testing</t>
        </is>
      </c>
      <c r="J82" t="inlineStr">
        <is>
          <t>Not Started</t>
        </is>
      </c>
    </row>
    <row r="83">
      <c r="A83" t="inlineStr">
        <is>
          <t>2026-04-13</t>
        </is>
      </c>
      <c r="B83" t="inlineStr">
        <is>
          <t>2026-0413-017</t>
        </is>
      </c>
      <c r="C83" t="inlineStr">
        <is>
          <t>Prompt Injection in Agentic Coding Assistants — Systematic Vulnerability Analysis (arXiv)</t>
        </is>
      </c>
      <c r="D83" t="inlineStr">
        <is>
          <t>N/A</t>
        </is>
      </c>
      <c r="E83" t="inlineStr">
        <is>
          <t>N/A</t>
        </is>
      </c>
      <c r="F83" t="inlineStr">
        <is>
          <t>N/A</t>
        </is>
      </c>
      <c r="G83" t="inlineStr">
        <is>
          <t>N/A</t>
        </is>
      </c>
      <c r="H83" t="inlineStr">
        <is>
          <t>N/A</t>
        </is>
      </c>
      <c r="I83" t="inlineStr">
        <is>
          <t>Red Teaming, Secure Coding</t>
        </is>
      </c>
      <c r="J83" t="inlineStr">
        <is>
          <t>Not Started</t>
        </is>
      </c>
    </row>
    <row r="84">
      <c r="A84" t="inlineStr">
        <is>
          <t>2026-04-14</t>
        </is>
      </c>
      <c r="B84" t="inlineStr">
        <is>
          <t>2026-0414-001</t>
        </is>
      </c>
      <c r="C84" t="inlineStr">
        <is>
          <t>DNS Tunneling Channel Discovered in ChatGPT Code Sandbox — Covert Data Exfiltration</t>
        </is>
      </c>
      <c r="D84" t="inlineStr">
        <is>
          <t>Risky Administrators</t>
        </is>
      </c>
      <c r="F84" t="inlineStr">
        <is>
          <t>Insecure Configuration</t>
        </is>
      </c>
      <c r="G84" t="inlineStr">
        <is>
          <t>Platform</t>
        </is>
      </c>
      <c r="H84" t="inlineStr">
        <is>
          <t>SR2 - System Compromise</t>
        </is>
      </c>
      <c r="I84" t="inlineStr">
        <is>
          <t>Anomaly Monitoring Secure Coding</t>
        </is>
      </c>
      <c r="J84" t="inlineStr">
        <is>
          <t>Not Started</t>
        </is>
      </c>
    </row>
    <row r="85">
      <c r="A85" t="inlineStr">
        <is>
          <t>2026-04-14</t>
        </is>
      </c>
      <c r="B85" t="inlineStr">
        <is>
          <t>2026-0414-002</t>
        </is>
      </c>
      <c r="C85" t="inlineStr">
        <is>
          <t>Memory Poisoning in LLM Agents — 90%+ Attack Success Against GPT-5 mini &amp; Claude Sonnet 4.5</t>
        </is>
      </c>
      <c r="D85" t="inlineStr">
        <is>
          <t>Risky Contributors</t>
        </is>
      </c>
      <c r="F85" t="inlineStr">
        <is>
          <t>Implant Poisoned Data</t>
        </is>
      </c>
      <c r="G85" t="inlineStr">
        <is>
          <t>Training Dataset</t>
        </is>
      </c>
      <c r="H85" t="inlineStr">
        <is>
          <t>SR3 - Abnormal Content</t>
        </is>
      </c>
      <c r="I85" t="inlineStr">
        <is>
          <t>Data Sanitization Anomaly Monitoring</t>
        </is>
      </c>
      <c r="J85" t="inlineStr">
        <is>
          <t>Not Started</t>
        </is>
      </c>
    </row>
    <row r="86">
      <c r="A86" t="inlineStr">
        <is>
          <t>2026-04-14</t>
        </is>
      </c>
      <c r="B86" t="inlineStr">
        <is>
          <t>2026-0414-003</t>
        </is>
      </c>
      <c r="C86" t="inlineStr">
        <is>
          <t>Anthropic Mythos Preview Restricted After Autonomous Zero-Day Discovery Across Major Systems</t>
        </is>
      </c>
      <c r="D86" t="inlineStr">
        <is>
          <t>Risky Administrators</t>
        </is>
      </c>
      <c r="F86" t="inlineStr">
        <is>
          <t>Insufficient Security Controls</t>
        </is>
      </c>
      <c r="G86" t="inlineStr">
        <is>
          <t>Platform</t>
        </is>
      </c>
      <c r="H86" t="inlineStr">
        <is>
          <t>SR2 - System Compromise</t>
        </is>
      </c>
      <c r="I86" t="inlineStr">
        <is>
          <t>Security Assessment Red Teaming</t>
        </is>
      </c>
      <c r="J86" t="inlineStr">
        <is>
          <t>Not Started</t>
        </is>
      </c>
    </row>
    <row r="87">
      <c r="A87" t="inlineStr">
        <is>
          <t>2026-04-14</t>
        </is>
      </c>
      <c r="B87" t="inlineStr">
        <is>
          <t>2026-0414-004</t>
        </is>
      </c>
      <c r="C87" t="inlineStr">
        <is>
          <t>MCP Cross-Client Data Leak CVE-2026-25536 — StreamableHTTP Transport Boundary Failure</t>
        </is>
      </c>
      <c r="D87" t="inlineStr">
        <is>
          <t>Risky Administrators</t>
        </is>
      </c>
      <c r="F87" t="inlineStr">
        <is>
          <t>Insecure Configuration</t>
        </is>
      </c>
      <c r="G87" t="inlineStr">
        <is>
          <t>Model Development Toolchain</t>
        </is>
      </c>
      <c r="H87" t="inlineStr">
        <is>
          <t>PR1 - Data Leakage</t>
        </is>
      </c>
      <c r="I87" t="inlineStr">
        <is>
          <t>Session Isolation Secure Coding</t>
        </is>
      </c>
      <c r="J87" t="inlineStr">
        <is>
          <t>Not Started</t>
        </is>
      </c>
    </row>
    <row r="88">
      <c r="A88" t="inlineStr">
        <is>
          <t>2026-04-14</t>
        </is>
      </c>
      <c r="B88" t="inlineStr">
        <is>
          <t>2026-0414-005</t>
        </is>
      </c>
      <c r="C88" t="inlineStr">
        <is>
          <t>Cascading Prompt Injection in Multi-Agent Pipelines — Cross-Layer Propagation Attacks</t>
        </is>
      </c>
      <c r="D88" t="inlineStr">
        <is>
          <t>Risky Users</t>
        </is>
      </c>
      <c r="F88" t="inlineStr">
        <is>
          <t>Prompt Injection</t>
        </is>
      </c>
      <c r="G88" t="inlineStr">
        <is>
          <t>LLM Prompts</t>
        </is>
      </c>
      <c r="H88" t="inlineStr">
        <is>
          <t>SR3 - Abnormal Content</t>
        </is>
      </c>
      <c r="I88" t="inlineStr">
        <is>
          <t>Prompt Sanitization Session Isolation</t>
        </is>
      </c>
      <c r="J88" t="inlineStr">
        <is>
          <t>Not Started</t>
        </is>
      </c>
    </row>
    <row r="89">
      <c r="A89" t="inlineStr">
        <is>
          <t>2026-04-14</t>
        </is>
      </c>
      <c r="B89" t="inlineStr">
        <is>
          <t>2026-0414-006</t>
        </is>
      </c>
      <c r="C89" t="inlineStr">
        <is>
          <t>OpenAI Concedes Prompt Injection 'Unlikely to Ever Be Fully Solved'</t>
        </is>
      </c>
      <c r="D89" t="inlineStr">
        <is>
          <t>N/A</t>
        </is>
      </c>
      <c r="F89" t="inlineStr">
        <is>
          <t>N/A</t>
        </is>
      </c>
      <c r="G89" t="inlineStr">
        <is>
          <t>N/A</t>
        </is>
      </c>
      <c r="H89" t="inlineStr">
        <is>
          <t>N/A</t>
        </is>
      </c>
      <c r="I89" t="inlineStr">
        <is>
          <t>Defense-in-Depth Strategy</t>
        </is>
      </c>
      <c r="J89" t="inlineStr">
        <is>
          <t>Not Started</t>
        </is>
      </c>
    </row>
    <row r="90">
      <c r="A90" t="inlineStr">
        <is>
          <t>2026-04-14</t>
        </is>
      </c>
      <c r="B90" t="inlineStr">
        <is>
          <t>2026-0414-007</t>
        </is>
      </c>
      <c r="C90" t="inlineStr">
        <is>
          <t>Axios NPM Backdoor Still Active in Production — Vectra Detection Guidance Published</t>
        </is>
      </c>
      <c r="D90" t="inlineStr">
        <is>
          <t>Risky Contributors</t>
        </is>
      </c>
      <c r="F90" t="inlineStr">
        <is>
          <t>Implant Malicious Code</t>
        </is>
      </c>
      <c r="G90" t="inlineStr">
        <is>
          <t>Third-Party Libraries</t>
        </is>
      </c>
      <c r="H90" t="inlineStr">
        <is>
          <t>SR2 - System Compromise</t>
        </is>
      </c>
      <c r="I90" t="inlineStr">
        <is>
          <t>SBOM Analysis Malware Detection</t>
        </is>
      </c>
      <c r="J90" t="inlineStr">
        <is>
          <t>Not Started</t>
        </is>
      </c>
    </row>
    <row r="91">
      <c r="A91" t="inlineStr">
        <is>
          <t>2026-04-14</t>
        </is>
      </c>
      <c r="B91" t="inlineStr">
        <is>
          <t>2026-0414-008</t>
        </is>
      </c>
      <c r="C91" t="inlineStr">
        <is>
          <t>Claude Source Code Leak Exposes Systemic Supply Chain Oversight Gaps</t>
        </is>
      </c>
      <c r="D91" t="inlineStr">
        <is>
          <t>Risky Contributors</t>
        </is>
      </c>
      <c r="F91" t="inlineStr">
        <is>
          <t>Leak / Improper Disclosure</t>
        </is>
      </c>
      <c r="G91" t="inlineStr">
        <is>
          <t>CI/CD Toolchain</t>
        </is>
      </c>
      <c r="H91" t="inlineStr">
        <is>
          <t>PR1 - Data Leakage</t>
        </is>
      </c>
      <c r="I91" t="inlineStr">
        <is>
          <t>Access Control Secure Coding</t>
        </is>
      </c>
      <c r="J91" t="inlineStr">
        <is>
          <t>Not Started</t>
        </is>
      </c>
    </row>
    <row r="92">
      <c r="A92" t="inlineStr">
        <is>
          <t>2026-04-14</t>
        </is>
      </c>
      <c r="B92" t="inlineStr">
        <is>
          <t>2026-0414-009</t>
        </is>
      </c>
      <c r="C92" t="inlineStr">
        <is>
          <t>Talos Intelligence 2026 Supply Chain Defense Report — Security Tools as Attack Vectors</t>
        </is>
      </c>
      <c r="D92" t="inlineStr">
        <is>
          <t>Risky Contributors</t>
        </is>
      </c>
      <c r="F92" t="inlineStr">
        <is>
          <t>Implant Malicious Code</t>
        </is>
      </c>
      <c r="G92" t="inlineStr">
        <is>
          <t>CI/CD Toolchain</t>
        </is>
      </c>
      <c r="H92" t="inlineStr">
        <is>
          <t>SR2 - System Compromise</t>
        </is>
      </c>
      <c r="I92" t="inlineStr">
        <is>
          <t>SBOM Analysis Malware Detection Secure Coding</t>
        </is>
      </c>
      <c r="J92" t="inlineStr">
        <is>
          <t>Not Started</t>
        </is>
      </c>
    </row>
    <row r="93">
      <c r="A93" t="inlineStr">
        <is>
          <t>2026-04-14</t>
        </is>
      </c>
      <c r="B93" t="inlineStr">
        <is>
          <t>2026-0414-010</t>
        </is>
      </c>
      <c r="C93" t="inlineStr">
        <is>
          <t>Rockstar Games ShinyHunters Ransom Deadline Today — Cloud Infrastructure Data at Stake</t>
        </is>
      </c>
      <c r="D93" t="inlineStr">
        <is>
          <t>Risky Users</t>
        </is>
      </c>
      <c r="F93" t="inlineStr">
        <is>
          <t>Unauthorized Data Access</t>
        </is>
      </c>
      <c r="G93" t="inlineStr">
        <is>
          <t>Platform</t>
        </is>
      </c>
      <c r="H93" t="inlineStr">
        <is>
          <t>PR1 - Data Leakage</t>
        </is>
      </c>
      <c r="I93" t="inlineStr">
        <is>
          <t>Access Control Incident Response</t>
        </is>
      </c>
      <c r="J93" t="inlineStr">
        <is>
          <t>Not Started</t>
        </is>
      </c>
    </row>
    <row r="94">
      <c r="A94" t="inlineStr">
        <is>
          <t>2026-04-14</t>
        </is>
      </c>
      <c r="B94" t="inlineStr">
        <is>
          <t>2026-0414-011</t>
        </is>
      </c>
      <c r="C94" t="inlineStr">
        <is>
          <t>Adobe Acrobat Reader CVE-2026-34621 — Emergency Patch for Active Exploitation (CVSS 8.6)</t>
        </is>
      </c>
      <c r="D94" t="inlineStr">
        <is>
          <t>Risky Users</t>
        </is>
      </c>
      <c r="F94" t="inlineStr">
        <is>
          <t>Exploit Vulnerabilities</t>
        </is>
      </c>
      <c r="G94" t="inlineStr">
        <is>
          <t>Platform</t>
        </is>
      </c>
      <c r="H94" t="inlineStr">
        <is>
          <t>SR2 - System Compromise</t>
        </is>
      </c>
      <c r="I94" t="inlineStr">
        <is>
          <t>Patch Management</t>
        </is>
      </c>
      <c r="J94" t="inlineStr">
        <is>
          <t>Not Started</t>
        </is>
      </c>
    </row>
    <row r="95">
      <c r="A95" t="inlineStr">
        <is>
          <t>2026-04-14</t>
        </is>
      </c>
      <c r="B95" t="inlineStr">
        <is>
          <t>2026-0414-012</t>
        </is>
      </c>
      <c r="C95" t="inlineStr">
        <is>
          <t>Windows Zero-Day Exploit Leaked Ahead of April Patch Tuesday</t>
        </is>
      </c>
      <c r="D95" t="inlineStr">
        <is>
          <t>Risky Users</t>
        </is>
      </c>
      <c r="F95" t="inlineStr">
        <is>
          <t>Exploit Vulnerabilities</t>
        </is>
      </c>
      <c r="G95" t="inlineStr">
        <is>
          <t>Platform</t>
        </is>
      </c>
      <c r="H95" t="inlineStr">
        <is>
          <t>SR2 - System Compromise</t>
        </is>
      </c>
      <c r="I95" t="inlineStr">
        <is>
          <t>Patch Management Vulnerability Scanning</t>
        </is>
      </c>
      <c r="J95" t="inlineStr">
        <is>
          <t>Not Started</t>
        </is>
      </c>
    </row>
    <row r="96">
      <c r="A96" t="inlineStr">
        <is>
          <t>2026-04-14</t>
        </is>
      </c>
      <c r="B96" t="inlineStr">
        <is>
          <t>2026-0414-013</t>
        </is>
      </c>
      <c r="C96" t="inlineStr">
        <is>
          <t>SongTrivia 2.9M Account Breach — Auth Tokens Passwords and PII Published</t>
        </is>
      </c>
      <c r="D96" t="inlineStr">
        <is>
          <t>Risky Users</t>
        </is>
      </c>
      <c r="F96" t="inlineStr">
        <is>
          <t>Unauthorized Data Access</t>
        </is>
      </c>
      <c r="G96" t="inlineStr">
        <is>
          <t>LLM Application</t>
        </is>
      </c>
      <c r="H96" t="inlineStr">
        <is>
          <t>PR1 - Data Leakage</t>
        </is>
      </c>
      <c r="I96" t="inlineStr">
        <is>
          <t>Access Control Anomaly Monitoring</t>
        </is>
      </c>
      <c r="J96" t="inlineStr">
        <is>
          <t>Not Started</t>
        </is>
      </c>
    </row>
    <row r="97">
      <c r="A97" t="inlineStr">
        <is>
          <t>2026-04-14</t>
        </is>
      </c>
      <c r="B97" t="inlineStr">
        <is>
          <t>2026-0414-014</t>
        </is>
      </c>
      <c r="C97" t="inlineStr">
        <is>
          <t>ComTec Systems Ransomware — IT Provider Breach Cascades to Downstream Clients</t>
        </is>
      </c>
      <c r="D97" t="inlineStr">
        <is>
          <t>Risky Users</t>
        </is>
      </c>
      <c r="F97" t="inlineStr">
        <is>
          <t>Ransomware Deployment</t>
        </is>
      </c>
      <c r="G97" t="inlineStr">
        <is>
          <t>Platform</t>
        </is>
      </c>
      <c r="H97" t="inlineStr">
        <is>
          <t>DR3 - Denial of Service</t>
        </is>
      </c>
      <c r="I97" t="inlineStr">
        <is>
          <t>Incident Response Backup Recovery</t>
        </is>
      </c>
      <c r="J97" t="inlineStr">
        <is>
          <t>Not Started</t>
        </is>
      </c>
    </row>
    <row r="98">
      <c r="A98" t="inlineStr">
        <is>
          <t>2026-04-14</t>
        </is>
      </c>
      <c r="B98" t="inlineStr">
        <is>
          <t>2026-0414-015</t>
        </is>
      </c>
      <c r="C98" t="inlineStr">
        <is>
          <t>Bitdefender April 2026 Threat Debrief — AI-Augmented Attack Techniques Accelerating</t>
        </is>
      </c>
      <c r="D98" t="inlineStr">
        <is>
          <t>N/A</t>
        </is>
      </c>
      <c r="F98" t="inlineStr">
        <is>
          <t>N/A</t>
        </is>
      </c>
      <c r="G98" t="inlineStr">
        <is>
          <t>N/A</t>
        </is>
      </c>
      <c r="H98" t="inlineStr">
        <is>
          <t>N/A</t>
        </is>
      </c>
      <c r="I98" t="inlineStr">
        <is>
          <t>Threat Intelligence</t>
        </is>
      </c>
      <c r="J98" t="inlineStr">
        <is>
          <t>Not Started</t>
        </is>
      </c>
    </row>
    <row r="99">
      <c r="A99" t="inlineStr">
        <is>
          <t>2026-04-14</t>
        </is>
      </c>
      <c r="B99" t="inlineStr">
        <is>
          <t>2026-0414-016</t>
        </is>
      </c>
      <c r="C99" t="inlineStr">
        <is>
          <t>Vulnerable MCP Project Launches Comprehensive Security Database</t>
        </is>
      </c>
      <c r="D99" t="inlineStr">
        <is>
          <t>N/A</t>
        </is>
      </c>
      <c r="F99" t="inlineStr">
        <is>
          <t>N/A</t>
        </is>
      </c>
      <c r="G99" t="inlineStr">
        <is>
          <t>N/A</t>
        </is>
      </c>
      <c r="H99" t="inlineStr">
        <is>
          <t>N/A</t>
        </is>
      </c>
      <c r="I99" t="inlineStr">
        <is>
          <t>Vulnerability Database Red Teaming</t>
        </is>
      </c>
      <c r="J99" t="inlineStr">
        <is>
          <t>Not Started</t>
        </is>
      </c>
    </row>
    <row r="100">
      <c r="A100" t="inlineStr">
        <is>
          <t>2026-04-14</t>
        </is>
      </c>
      <c r="B100" t="inlineStr">
        <is>
          <t>2026-0414-017</t>
        </is>
      </c>
      <c r="C100" t="inlineStr">
        <is>
          <t>MCP-DPT Defense-Placement Taxonomy Published (arXiv:2604.07551) — Coverage Gap Analysis</t>
        </is>
      </c>
      <c r="D100" t="inlineStr">
        <is>
          <t>N/A</t>
        </is>
      </c>
      <c r="F100" t="inlineStr">
        <is>
          <t>N/A</t>
        </is>
      </c>
      <c r="G100" t="inlineStr">
        <is>
          <t>N/A</t>
        </is>
      </c>
      <c r="H100" t="inlineStr">
        <is>
          <t>N/A</t>
        </is>
      </c>
      <c r="I100" t="inlineStr">
        <is>
          <t>Defense-in-Depth Secure Coding</t>
        </is>
      </c>
      <c r="J100" t="inlineStr">
        <is>
          <t>Not Started</t>
        </is>
      </c>
    </row>
    <row r="101">
      <c r="A101" t="inlineStr">
        <is>
          <t>2026-04-23</t>
        </is>
      </c>
      <c r="B101" t="inlineStr">
        <is>
          <t>2026-0423-001</t>
        </is>
      </c>
      <c r="C101" t="inlineStr">
        <is>
          <t>MCP / Toolchain RCE</t>
        </is>
      </c>
      <c r="D101" t="inlineStr">
        <is>
          <t>Risky Administrators</t>
        </is>
      </c>
      <c r="F101" t="inlineStr">
        <is>
          <t>Insecure Configuration</t>
        </is>
      </c>
      <c r="G101" t="inlineStr">
        <is>
          <t>Model Development Toolchain</t>
        </is>
      </c>
      <c r="H101" t="inlineStr">
        <is>
          <t>SR2 - System Compromise</t>
        </is>
      </c>
      <c r="I101" t="inlineStr">
        <is>
          <t>Secure Coding, SBOM Analysis, Session Isolation</t>
        </is>
      </c>
      <c r="J101" t="inlineStr">
        <is>
          <t>Not Started</t>
        </is>
      </c>
    </row>
    <row r="102">
      <c r="A102" t="inlineStr">
        <is>
          <t>2026-04-23</t>
        </is>
      </c>
      <c r="B102" t="inlineStr">
        <is>
          <t>2026-0423-002</t>
        </is>
      </c>
      <c r="C102" t="inlineStr">
        <is>
          <t>MCP / Toolchain RCE</t>
        </is>
      </c>
      <c r="D102" t="inlineStr">
        <is>
          <t>Risky Administrators</t>
        </is>
      </c>
      <c r="F102" t="inlineStr">
        <is>
          <t>Insecure Configuration</t>
        </is>
      </c>
      <c r="G102" t="inlineStr">
        <is>
          <t>Model Development Toolchain</t>
        </is>
      </c>
      <c r="H102" t="inlineStr">
        <is>
          <t>SR2 - System Compromise</t>
        </is>
      </c>
      <c r="I102" t="inlineStr">
        <is>
          <t>Input Sanitization, Secure Coding</t>
        </is>
      </c>
      <c r="J102" t="inlineStr">
        <is>
          <t>Not Started</t>
        </is>
      </c>
    </row>
    <row r="103">
      <c r="A103" t="inlineStr">
        <is>
          <t>2026-04-23</t>
        </is>
      </c>
      <c r="B103" t="inlineStr">
        <is>
          <t>2026-0423-003</t>
        </is>
      </c>
      <c r="C103" t="inlineStr">
        <is>
          <t>Inference Engine SSRF</t>
        </is>
      </c>
      <c r="D103" t="inlineStr">
        <is>
          <t>Risky Users</t>
        </is>
      </c>
      <c r="F103" t="inlineStr">
        <is>
          <t>Exploit Vulnerabilities</t>
        </is>
      </c>
      <c r="G103" t="inlineStr">
        <is>
          <t>Platform</t>
        </is>
      </c>
      <c r="H103" t="inlineStr">
        <is>
          <t>SR2 - System Compromise</t>
        </is>
      </c>
      <c r="I103" t="inlineStr">
        <is>
          <t>Patch Management, Network Segmentation</t>
        </is>
      </c>
      <c r="J103" t="inlineStr">
        <is>
          <t>Not Started</t>
        </is>
      </c>
    </row>
    <row r="104">
      <c r="A104" t="inlineStr">
        <is>
          <t>2026-04-23</t>
        </is>
      </c>
      <c r="B104" t="inlineStr">
        <is>
          <t>2026-0423-004</t>
        </is>
      </c>
      <c r="C104" t="inlineStr">
        <is>
          <t>Memory Poisoning</t>
        </is>
      </c>
      <c r="D104" t="inlineStr">
        <is>
          <t>Risky Contributors</t>
        </is>
      </c>
      <c r="F104" t="inlineStr">
        <is>
          <t>Implant Poisoned Data</t>
        </is>
      </c>
      <c r="G104" t="inlineStr">
        <is>
          <t>Training/Retrieval Dataset</t>
        </is>
      </c>
      <c r="H104" t="inlineStr">
        <is>
          <t>SR3 - Abnormal Content</t>
        </is>
      </c>
      <c r="I104" t="inlineStr">
        <is>
          <t>Data Sanitization, Anomaly Monitoring, Memory Integrity</t>
        </is>
      </c>
      <c r="J104" t="inlineStr">
        <is>
          <t>Not Started</t>
        </is>
      </c>
    </row>
    <row r="105">
      <c r="A105" t="inlineStr">
        <is>
          <t>2026-04-23</t>
        </is>
      </c>
      <c r="B105" t="inlineStr">
        <is>
          <t>2026-0423-005</t>
        </is>
      </c>
      <c r="C105" t="inlineStr">
        <is>
          <t>Recommendation Poisoning</t>
        </is>
      </c>
      <c r="D105" t="inlineStr">
        <is>
          <t>Risky Contributors</t>
        </is>
      </c>
      <c r="F105" t="inlineStr">
        <is>
          <t>Implant Biased Content</t>
        </is>
      </c>
      <c r="G105" t="inlineStr">
        <is>
          <t>Retrieval Dataset</t>
        </is>
      </c>
      <c r="H105" t="inlineStr">
        <is>
          <t>SR3 - Abnormal Content</t>
        </is>
      </c>
      <c r="I105" t="inlineStr">
        <is>
          <t>Content Integrity, Output Validation</t>
        </is>
      </c>
      <c r="J105" t="inlineStr">
        <is>
          <t>Not Started</t>
        </is>
      </c>
    </row>
    <row r="106">
      <c r="A106" t="inlineStr">
        <is>
          <t>2026-04-23</t>
        </is>
      </c>
      <c r="B106" t="inlineStr">
        <is>
          <t>2026-0423-006</t>
        </is>
      </c>
      <c r="C106" t="inlineStr">
        <is>
          <t>Governance Signal</t>
        </is>
      </c>
      <c r="D106" t="inlineStr">
        <is>
          <t>N/A</t>
        </is>
      </c>
      <c r="F106" t="inlineStr">
        <is>
          <t>N/A</t>
        </is>
      </c>
      <c r="G106" t="inlineStr">
        <is>
          <t>N/A</t>
        </is>
      </c>
      <c r="H106" t="inlineStr">
        <is>
          <t>N/A</t>
        </is>
      </c>
      <c r="I106" t="inlineStr">
        <is>
          <t>Governance Uplift, Budget Re-alignment</t>
        </is>
      </c>
      <c r="J106" t="inlineStr">
        <is>
          <t>Not Started</t>
        </is>
      </c>
    </row>
    <row r="107">
      <c r="A107" t="inlineStr">
        <is>
          <t>2026-04-23</t>
        </is>
      </c>
      <c r="B107" t="inlineStr">
        <is>
          <t>2026-0423-007</t>
        </is>
      </c>
      <c r="C107" t="inlineStr">
        <is>
          <t>Agent Privilege Abuse</t>
        </is>
      </c>
      <c r="D107" t="inlineStr">
        <is>
          <t>Risky Users</t>
        </is>
      </c>
      <c r="F107" t="inlineStr">
        <is>
          <t>Unauthorized Action Execution</t>
        </is>
      </c>
      <c r="G107" t="inlineStr">
        <is>
          <t>Application</t>
        </is>
      </c>
      <c r="H107" t="inlineStr">
        <is>
          <t>PR2/PR3 - Privilege Abuse</t>
        </is>
      </c>
      <c r="I107" t="inlineStr">
        <is>
          <t>Least Privilege, Human-in-the-Loop, Transaction Limits</t>
        </is>
      </c>
      <c r="J107" t="inlineStr">
        <is>
          <t>Not Started</t>
        </is>
      </c>
    </row>
    <row r="108">
      <c r="A108" t="inlineStr">
        <is>
          <t>2026-04-23</t>
        </is>
      </c>
      <c r="B108" t="inlineStr">
        <is>
          <t>2026-0423-008</t>
        </is>
      </c>
      <c r="C108" t="inlineStr">
        <is>
          <t>Offensive AI Capability</t>
        </is>
      </c>
      <c r="D108" t="inlineStr">
        <is>
          <t>Risky Contributors (nation-state)</t>
        </is>
      </c>
      <c r="F108" t="inlineStr">
        <is>
          <t>Autonomous Vulnerability Discovery</t>
        </is>
      </c>
      <c r="G108" t="inlineStr">
        <is>
          <t>LLM Application</t>
        </is>
      </c>
      <c r="H108" t="inlineStr">
        <is>
          <t>SR2 - System Compromise</t>
        </is>
      </c>
      <c r="I108" t="inlineStr">
        <is>
          <t>Patch Velocity, Threat Intelligence</t>
        </is>
      </c>
      <c r="J108" t="inlineStr">
        <is>
          <t>Not Started</t>
        </is>
      </c>
    </row>
    <row r="109">
      <c r="A109" t="inlineStr">
        <is>
          <t>2026-04-23</t>
        </is>
      </c>
      <c r="B109" t="inlineStr">
        <is>
          <t>2026-0423-009</t>
        </is>
      </c>
      <c r="C109" t="inlineStr">
        <is>
          <t>AI Toolchain RCE</t>
        </is>
      </c>
      <c r="D109" t="inlineStr">
        <is>
          <t>Risky Administrators</t>
        </is>
      </c>
      <c r="F109" t="inlineStr">
        <is>
          <t>Insecure Configuration</t>
        </is>
      </c>
      <c r="G109" t="inlineStr">
        <is>
          <t>Model Development Toolchain</t>
        </is>
      </c>
      <c r="H109" t="inlineStr">
        <is>
          <t>SR2 - System Compromise</t>
        </is>
      </c>
      <c r="I109" t="inlineStr">
        <is>
          <t>Patch Management, Network Isolation</t>
        </is>
      </c>
      <c r="J109" t="inlineStr">
        <is>
          <t>Not Started</t>
        </is>
      </c>
    </row>
    <row r="110">
      <c r="A110" t="inlineStr">
        <is>
          <t>2026-04-23</t>
        </is>
      </c>
      <c r="B110" t="inlineStr">
        <is>
          <t>2026-0423-010</t>
        </is>
      </c>
      <c r="C110" t="inlineStr">
        <is>
          <t>Third-party AI SaaS</t>
        </is>
      </c>
      <c r="D110" t="inlineStr">
        <is>
          <t>Risky Contributors (third-party)</t>
        </is>
      </c>
      <c r="F110" t="inlineStr">
        <is>
          <t>Credential Theft via SaaS Pivot</t>
        </is>
      </c>
      <c r="G110" t="inlineStr">
        <is>
          <t>Third-Party AI Platform</t>
        </is>
      </c>
      <c r="H110" t="inlineStr">
        <is>
          <t>PR1 - Data Leakage</t>
        </is>
      </c>
      <c r="I110" t="inlineStr">
        <is>
          <t>Vendor Risk Management, Least-Privilege Federated Access</t>
        </is>
      </c>
      <c r="J110" t="inlineStr">
        <is>
          <t>Not Started</t>
        </is>
      </c>
    </row>
    <row r="111">
      <c r="A111" t="inlineStr">
        <is>
          <t>2026-04-23</t>
        </is>
      </c>
      <c r="B111" t="inlineStr">
        <is>
          <t>2026-0423-011</t>
        </is>
      </c>
      <c r="C111" t="inlineStr">
        <is>
          <t>AI Workflow Platform</t>
        </is>
      </c>
      <c r="D111" t="inlineStr">
        <is>
          <t>Risky Administrators</t>
        </is>
      </c>
      <c r="F111" t="inlineStr">
        <is>
          <t>Exploit Vulnerabilities</t>
        </is>
      </c>
      <c r="G111" t="inlineStr">
        <is>
          <t>Application</t>
        </is>
      </c>
      <c r="H111" t="inlineStr">
        <is>
          <t>SR2 - System Compromise</t>
        </is>
      </c>
      <c r="I111" t="inlineStr">
        <is>
          <t>Patch Management, Credential Rotation</t>
        </is>
      </c>
      <c r="J111" t="inlineStr">
        <is>
          <t>Not Started</t>
        </is>
      </c>
    </row>
    <row r="112">
      <c r="A112" t="inlineStr">
        <is>
          <t>2026-04-23</t>
        </is>
      </c>
      <c r="B112" t="inlineStr">
        <is>
          <t>2026-0423-012</t>
        </is>
      </c>
      <c r="C112" t="inlineStr">
        <is>
          <t>AI Defensive Capability</t>
        </is>
      </c>
      <c r="D112" t="inlineStr">
        <is>
          <t>Defensive</t>
        </is>
      </c>
      <c r="F112" t="inlineStr">
        <is>
          <t>Autonomous Defensive Testing</t>
        </is>
      </c>
      <c r="G112" t="inlineStr">
        <is>
          <t>Platform</t>
        </is>
      </c>
      <c r="H112" t="inlineStr">
        <is>
          <t>N/A</t>
        </is>
      </c>
      <c r="I112" t="inlineStr">
        <is>
          <t>AI-Augmented Security Testing</t>
        </is>
      </c>
      <c r="J112" t="inlineStr">
        <is>
          <t>Not Started</t>
        </is>
      </c>
    </row>
    <row r="113">
      <c r="A113" t="inlineStr">
        <is>
          <t>2026-04-23</t>
        </is>
      </c>
      <c r="B113" t="inlineStr">
        <is>
          <t>2026-0423-013</t>
        </is>
      </c>
      <c r="C113" t="inlineStr">
        <is>
          <t>Endpoint Security Abuse</t>
        </is>
      </c>
      <c r="D113" t="inlineStr">
        <is>
          <t>Risky Users</t>
        </is>
      </c>
      <c r="F113" t="inlineStr">
        <is>
          <t>Abuse Legitimate Functionality</t>
        </is>
      </c>
      <c r="G113" t="inlineStr">
        <is>
          <t>Platform</t>
        </is>
      </c>
      <c r="H113" t="inlineStr">
        <is>
          <t>SR2 - System Compromise</t>
        </is>
      </c>
      <c r="I113" t="inlineStr">
        <is>
          <t>Monitoring, Compensating Controls</t>
        </is>
      </c>
      <c r="J113" t="inlineStr">
        <is>
          <t>Not Started</t>
        </is>
      </c>
    </row>
    <row r="114">
      <c r="A114" t="inlineStr">
        <is>
          <t>2026-04-23</t>
        </is>
      </c>
      <c r="B114" t="inlineStr">
        <is>
          <t>2026-0423-014</t>
        </is>
      </c>
      <c r="C114" t="inlineStr">
        <is>
          <t>Framework Update</t>
        </is>
      </c>
      <c r="D114" t="inlineStr">
        <is>
          <t>N/A</t>
        </is>
      </c>
      <c r="F114" t="inlineStr">
        <is>
          <t>N/A</t>
        </is>
      </c>
      <c r="G114" t="inlineStr">
        <is>
          <t>N/A</t>
        </is>
      </c>
      <c r="H114" t="inlineStr">
        <is>
          <t>N/A</t>
        </is>
      </c>
      <c r="I114" t="inlineStr">
        <is>
          <t>Threat Intelligence, Red Teaming Alignment</t>
        </is>
      </c>
      <c r="J114" t="inlineStr">
        <is>
          <t>Not Started</t>
        </is>
      </c>
    </row>
    <row r="115">
      <c r="A115" t="inlineStr">
        <is>
          <t>2026-04-23</t>
        </is>
      </c>
      <c r="B115" t="inlineStr">
        <is>
          <t>2026-0423-015</t>
        </is>
      </c>
      <c r="C115" t="inlineStr">
        <is>
          <t>Framework Update</t>
        </is>
      </c>
      <c r="D115" t="inlineStr">
        <is>
          <t>N/A</t>
        </is>
      </c>
      <c r="F115" t="inlineStr">
        <is>
          <t>N/A</t>
        </is>
      </c>
      <c r="G115" t="inlineStr">
        <is>
          <t>N/A</t>
        </is>
      </c>
      <c r="H115" t="inlineStr">
        <is>
          <t>N/A</t>
        </is>
      </c>
      <c r="I115" t="inlineStr">
        <is>
          <t>Policy Alignment, Control Mapping</t>
        </is>
      </c>
      <c r="J115" t="inlineStr">
        <is>
          <t>Not Started</t>
        </is>
      </c>
    </row>
    <row r="116">
      <c r="A116" t="inlineStr">
        <is>
          <t>2026-04-23</t>
        </is>
      </c>
      <c r="B116" t="inlineStr">
        <is>
          <t>2026-0423-016</t>
        </is>
      </c>
      <c r="C116" t="inlineStr">
        <is>
          <t>Regulatory/Profile</t>
        </is>
      </c>
      <c r="D116" t="inlineStr">
        <is>
          <t>N/A</t>
        </is>
      </c>
      <c r="F116" t="inlineStr">
        <is>
          <t>N/A</t>
        </is>
      </c>
      <c r="G116" t="inlineStr">
        <is>
          <t>N/A</t>
        </is>
      </c>
      <c r="H116" t="inlineStr">
        <is>
          <t>N/A</t>
        </is>
      </c>
      <c r="I116" t="inlineStr">
        <is>
          <t>Regulatory Alignment</t>
        </is>
      </c>
      <c r="J116" t="inlineStr">
        <is>
          <t>Not Started</t>
        </is>
      </c>
    </row>
    <row r="117">
      <c r="A117" t="inlineStr">
        <is>
          <t>2026-04-23</t>
        </is>
      </c>
      <c r="B117" t="inlineStr">
        <is>
          <t>2026-0423-017</t>
        </is>
      </c>
      <c r="C117" t="inlineStr">
        <is>
          <t>Implementation Guide</t>
        </is>
      </c>
      <c r="D117" t="inlineStr">
        <is>
          <t>N/A</t>
        </is>
      </c>
      <c r="F117" t="inlineStr">
        <is>
          <t>N/A</t>
        </is>
      </c>
      <c r="G117" t="inlineStr">
        <is>
          <t>N/A</t>
        </is>
      </c>
      <c r="H117" t="inlineStr">
        <is>
          <t>N/A</t>
        </is>
      </c>
      <c r="I117" t="inlineStr">
        <is>
          <t>Reference Architecture Alignment</t>
        </is>
      </c>
      <c r="J117" t="inlineStr">
        <is>
          <t>Not Started</t>
        </is>
      </c>
    </row>
    <row r="118">
      <c r="A118" t="inlineStr">
        <is>
          <t>2026-04-24</t>
        </is>
      </c>
      <c r="B118" t="inlineStr">
        <is>
          <t>2026-0424-001</t>
        </is>
      </c>
      <c r="C118" t="inlineStr">
        <is>
          <t>Claude Code + GPT-4.1 Weaponized Against Mexican Government - 195M Records / 150GB Exfiltrated</t>
        </is>
      </c>
      <c r="D118" t="inlineStr">
        <is>
          <t>Risky Users</t>
        </is>
      </c>
      <c r="F118" t="inlineStr">
        <is>
          <t>Weaponize Commercial LLM</t>
        </is>
      </c>
      <c r="G118" t="inlineStr">
        <is>
          <t>LLM Application (offensive use)</t>
        </is>
      </c>
      <c r="H118" t="inlineStr">
        <is>
          <t>SR1 - Hacker Use</t>
        </is>
      </c>
      <c r="I118" t="inlineStr">
        <is>
          <t>API Abuse Monitoring</t>
        </is>
      </c>
      <c r="J118" t="inlineStr">
        <is>
          <t>Not Started</t>
        </is>
      </c>
    </row>
    <row r="119">
      <c r="A119" t="inlineStr">
        <is>
          <t>2026-04-24</t>
        </is>
      </c>
      <c r="B119" t="inlineStr">
        <is>
          <t>2026-0424-002</t>
        </is>
      </c>
      <c r="C119" t="inlineStr">
        <is>
          <t>Google Antigravity Prompt-Injection-to-RCE - find_by_name Pattern Flag Injection Escapes Sandbox</t>
        </is>
      </c>
      <c r="D119" t="inlineStr">
        <is>
          <t>Risky Contributors</t>
        </is>
      </c>
      <c r="F119" t="inlineStr">
        <is>
          <t>Insecure Tool Interface</t>
        </is>
      </c>
      <c r="G119" t="inlineStr">
        <is>
          <t>LLM Application/IDE</t>
        </is>
      </c>
      <c r="H119" t="inlineStr">
        <is>
          <t>SR2 - System Compromise</t>
        </is>
      </c>
      <c r="I119" t="inlineStr">
        <is>
          <t>Input Sanitization</t>
        </is>
      </c>
      <c r="J119" t="inlineStr">
        <is>
          <t>Not Started</t>
        </is>
      </c>
    </row>
    <row r="120">
      <c r="A120" t="inlineStr">
        <is>
          <t>2026-04-24</t>
        </is>
      </c>
      <c r="B120" t="inlineStr">
        <is>
          <t>2026-0424-003</t>
        </is>
      </c>
      <c r="C120" t="inlineStr">
        <is>
          <t>CVE-2026-22778 - vLLM RCE via Malicious Video URL (Unauthenticated Chain)</t>
        </is>
      </c>
      <c r="D120" t="inlineStr">
        <is>
          <t>Risky Users</t>
        </is>
      </c>
      <c r="F120" t="inlineStr">
        <is>
          <t>Exploit Vulnerabilities</t>
        </is>
      </c>
      <c r="G120" t="inlineStr">
        <is>
          <t>Platform</t>
        </is>
      </c>
      <c r="H120" t="inlineStr">
        <is>
          <t>SR2 - System Compromise</t>
        </is>
      </c>
      <c r="I120" t="inlineStr">
        <is>
          <t>Patch Management</t>
        </is>
      </c>
      <c r="J120" t="inlineStr">
        <is>
          <t>Not Started</t>
        </is>
      </c>
    </row>
    <row r="121">
      <c r="A121" t="inlineStr">
        <is>
          <t>2026-04-24</t>
        </is>
      </c>
      <c r="B121" t="inlineStr">
        <is>
          <t>2026-0424-004</t>
        </is>
      </c>
      <c r="C121" t="inlineStr">
        <is>
          <t>CVE-2026-22807 - vLLM auto_map Code Injection at Model Load (trust_remote_code Bypass)</t>
        </is>
      </c>
      <c r="D121" t="inlineStr">
        <is>
          <t>Risky Contributors</t>
        </is>
      </c>
      <c r="F121" t="inlineStr">
        <is>
          <t>Poison Model Artifact</t>
        </is>
      </c>
      <c r="G121" t="inlineStr">
        <is>
          <t>Model/Weights</t>
        </is>
      </c>
      <c r="H121" t="inlineStr">
        <is>
          <t>SR2 - System Compromise</t>
        </is>
      </c>
      <c r="I121" t="inlineStr">
        <is>
          <t>Signed Model Manifests</t>
        </is>
      </c>
      <c r="J121" t="inlineStr">
        <is>
          <t>Not Started</t>
        </is>
      </c>
    </row>
    <row r="122">
      <c r="A122" t="inlineStr">
        <is>
          <t>2026-04-24</t>
        </is>
      </c>
      <c r="B122" t="inlineStr">
        <is>
          <t>2026-0424-005</t>
        </is>
      </c>
      <c r="C122" t="inlineStr">
        <is>
          <t>Poetry Jailbreak - Universal Single-Shot Safety Bypass Across Frontier LLMs</t>
        </is>
      </c>
      <c r="D122" t="inlineStr">
        <is>
          <t>Risky Users</t>
        </is>
      </c>
      <c r="F122" t="inlineStr">
        <is>
          <t>Prompt Injection (form-obfuscated)</t>
        </is>
      </c>
      <c r="G122" t="inlineStr">
        <is>
          <t>Prompt</t>
        </is>
      </c>
      <c r="H122" t="inlineStr">
        <is>
          <t>SR3 - Abnormal Content</t>
        </is>
      </c>
      <c r="I122" t="inlineStr">
        <is>
          <t>Semantic Filtering</t>
        </is>
      </c>
      <c r="J122" t="inlineStr">
        <is>
          <t>Not Started</t>
        </is>
      </c>
    </row>
    <row r="123">
      <c r="A123" t="inlineStr">
        <is>
          <t>2026-04-24</t>
        </is>
      </c>
      <c r="B123" t="inlineStr">
        <is>
          <t>2026-0424-006</t>
        </is>
      </c>
      <c r="C123" t="inlineStr">
        <is>
          <t>Enterprise AI Chat Exposure - 46.5M Messages / 728K Files / 3.68M RAG Chunks</t>
        </is>
      </c>
      <c r="D123" t="inlineStr">
        <is>
          <t>Risky Administrators</t>
        </is>
      </c>
      <c r="F123" t="inlineStr">
        <is>
          <t>Over-permissive Agent Scope</t>
        </is>
      </c>
      <c r="G123" t="inlineStr">
        <is>
          <t>Retrieval Dataset + Application</t>
        </is>
      </c>
      <c r="H123" t="inlineStr">
        <is>
          <t>PR1 - Data Leakage</t>
        </is>
      </c>
      <c r="I123" t="inlineStr">
        <is>
          <t>Least-Privilege Agent Identity</t>
        </is>
      </c>
      <c r="J123" t="inlineStr">
        <is>
          <t>Not Started</t>
        </is>
      </c>
    </row>
    <row r="124">
      <c r="A124" t="inlineStr">
        <is>
          <t>2026-04-24</t>
        </is>
      </c>
      <c r="B124" t="inlineStr">
        <is>
          <t>2026-0424-007</t>
        </is>
      </c>
      <c r="C124" t="inlineStr">
        <is>
          <t>CrowdStrike 2026 Global Threat Report - AI Security Tools Hijacked at 90+ Organizations</t>
        </is>
      </c>
      <c r="D124" t="inlineStr">
        <is>
          <t>Risky Administrators</t>
        </is>
      </c>
      <c r="F124" t="inlineStr">
        <is>
          <t>Over-Trusted Agentic Authority</t>
        </is>
      </c>
      <c r="G124" t="inlineStr">
        <is>
          <t>Platform</t>
        </is>
      </c>
      <c r="H124" t="inlineStr">
        <is>
          <t>SR2 - System Compromise</t>
        </is>
      </c>
      <c r="I124" t="inlineStr">
        <is>
          <t>Least Agency</t>
        </is>
      </c>
      <c r="J124" t="inlineStr">
        <is>
          <t>Not Started</t>
        </is>
      </c>
    </row>
    <row r="125">
      <c r="A125" t="inlineStr">
        <is>
          <t>2026-04-24</t>
        </is>
      </c>
      <c r="B125" t="inlineStr">
        <is>
          <t>2026-0424-008</t>
        </is>
      </c>
      <c r="C125" t="inlineStr">
        <is>
          <t>PhantomRaven - 126 Malicious npm Packages Exploiting AI Package Hallucination</t>
        </is>
      </c>
      <c r="D125" t="inlineStr">
        <is>
          <t>Risky Contributors</t>
        </is>
      </c>
      <c r="F125" t="inlineStr">
        <is>
          <t>Squat Hallucinated Names</t>
        </is>
      </c>
      <c r="G125" t="inlineStr">
        <is>
          <t>Third-Party Libraries</t>
        </is>
      </c>
      <c r="H125" t="inlineStr">
        <is>
          <t>SR2 - System Compromise</t>
        </is>
      </c>
      <c r="I125" t="inlineStr">
        <is>
          <t>SBOM Analysis</t>
        </is>
      </c>
      <c r="J125" t="inlineStr">
        <is>
          <t>Not Started</t>
        </is>
      </c>
    </row>
    <row r="126">
      <c r="A126" t="inlineStr">
        <is>
          <t>2026-04-24</t>
        </is>
      </c>
      <c r="B126" t="inlineStr">
        <is>
          <t>2026-0424-009</t>
        </is>
      </c>
      <c r="C126" t="inlineStr">
        <is>
          <t>Postmark Impersonation MCP Server - Silent BCC Exfiltration of Every Agent Email</t>
        </is>
      </c>
      <c r="D126" t="inlineStr">
        <is>
          <t>Risky Contributors</t>
        </is>
      </c>
      <c r="F126" t="inlineStr">
        <is>
          <t>Trojan Tool</t>
        </is>
      </c>
      <c r="G126" t="inlineStr">
        <is>
          <t>Model Development Toolchain</t>
        </is>
      </c>
      <c r="H126" t="inlineStr">
        <is>
          <t>PR1 - Data Leakage</t>
        </is>
      </c>
      <c r="I126" t="inlineStr">
        <is>
          <t>MCP Allowlisting</t>
        </is>
      </c>
      <c r="J126" t="inlineStr">
        <is>
          <t>Not Started</t>
        </is>
      </c>
    </row>
    <row r="127">
      <c r="A127" t="inlineStr">
        <is>
          <t>2026-04-24</t>
        </is>
      </c>
      <c r="B127" t="inlineStr">
        <is>
          <t>2026-0424-010</t>
        </is>
      </c>
      <c r="C127" t="inlineStr">
        <is>
          <t>CVE-2026-34753 - vLLM Batch Runner SSRF via download_bytes_from_url</t>
        </is>
      </c>
      <c r="D127" t="inlineStr">
        <is>
          <t>Risky Users</t>
        </is>
      </c>
      <c r="F127" t="inlineStr">
        <is>
          <t>Exploit Vulnerabilities</t>
        </is>
      </c>
      <c r="G127" t="inlineStr">
        <is>
          <t>Platform</t>
        </is>
      </c>
      <c r="H127" t="inlineStr">
        <is>
          <t>SR2 - System Compromise</t>
        </is>
      </c>
      <c r="I127" t="inlineStr">
        <is>
          <t>Patch Management</t>
        </is>
      </c>
      <c r="J127" t="inlineStr">
        <is>
          <t>Not Started</t>
        </is>
      </c>
    </row>
    <row r="128">
      <c r="A128" t="inlineStr">
        <is>
          <t>2026-04-24</t>
        </is>
      </c>
      <c r="B128" t="inlineStr">
        <is>
          <t>2026-0424-011</t>
        </is>
      </c>
      <c r="C128" t="inlineStr">
        <is>
          <t>CISA KEV Adds 8 Exploited Flaws - Cisco Catalyst SD-WAN Trio, April 23/May 4 Federal Deadlines</t>
        </is>
      </c>
      <c r="D128" t="inlineStr">
        <is>
          <t>Risky Administrators</t>
        </is>
      </c>
      <c r="F128" t="inlineStr">
        <is>
          <t>Unpatched Infrastructure</t>
        </is>
      </c>
      <c r="G128" t="inlineStr">
        <is>
          <t>Platform</t>
        </is>
      </c>
      <c r="H128" t="inlineStr">
        <is>
          <t>SR2 - System Compromise</t>
        </is>
      </c>
      <c r="I128" t="inlineStr">
        <is>
          <t>Patch Velocity</t>
        </is>
      </c>
      <c r="J128" t="inlineStr">
        <is>
          <t>Not Started</t>
        </is>
      </c>
    </row>
    <row r="129">
      <c r="A129" t="inlineStr">
        <is>
          <t>2026-04-24</t>
        </is>
      </c>
      <c r="B129" t="inlineStr">
        <is>
          <t>2026-0424-012</t>
        </is>
      </c>
      <c r="C129" t="inlineStr">
        <is>
          <t>Microsoft April 2026 Patch Tuesday - 160+ Fixes Including 2 Zero-Days</t>
        </is>
      </c>
      <c r="D129" t="inlineStr">
        <is>
          <t>Risky Administrators</t>
        </is>
      </c>
      <c r="F129" t="inlineStr">
        <is>
          <t>Unpatched Infrastructure</t>
        </is>
      </c>
      <c r="G129" t="inlineStr">
        <is>
          <t>Platform</t>
        </is>
      </c>
      <c r="H129" t="inlineStr">
        <is>
          <t>SR2 - System Compromise</t>
        </is>
      </c>
      <c r="I129" t="inlineStr">
        <is>
          <t>Patch Management</t>
        </is>
      </c>
      <c r="J129" t="inlineStr">
        <is>
          <t>Not Started</t>
        </is>
      </c>
    </row>
    <row r="130">
      <c r="A130" t="inlineStr">
        <is>
          <t>2026-04-24</t>
        </is>
      </c>
      <c r="B130" t="inlineStr">
        <is>
          <t>2026-0424-013</t>
        </is>
      </c>
      <c r="C130" t="inlineStr">
        <is>
          <t>AI Voice-Clone Scam Wave - 1-in-10 Americans Affected, Congressional Hearings Open</t>
        </is>
      </c>
      <c r="D130" t="inlineStr">
        <is>
          <t>Risky Users</t>
        </is>
      </c>
      <c r="F130" t="inlineStr">
        <is>
          <t>Synthetic Media Generation</t>
        </is>
      </c>
      <c r="G130" t="inlineStr">
        <is>
          <t>LLM Application</t>
        </is>
      </c>
      <c r="H130" t="inlineStr">
        <is>
          <t>SR3 - Abnormal Content</t>
        </is>
      </c>
      <c r="I130" t="inlineStr">
        <is>
          <t>Deepfake Detection</t>
        </is>
      </c>
      <c r="J130" t="inlineStr">
        <is>
          <t>Not Started</t>
        </is>
      </c>
    </row>
    <row r="131">
      <c r="A131" t="inlineStr">
        <is>
          <t>2026-04-24</t>
        </is>
      </c>
      <c r="B131" t="inlineStr">
        <is>
          <t>2026-0424-014</t>
        </is>
      </c>
      <c r="C131" t="inlineStr">
        <is>
          <t>IBM Announces Agentic Attack Defense Measures (Apr 15, 2026)</t>
        </is>
      </c>
      <c r="D131" t="inlineStr">
        <is>
          <t>N/A</t>
        </is>
      </c>
      <c r="F131" t="inlineStr">
        <is>
          <t>N/A</t>
        </is>
      </c>
      <c r="G131" t="inlineStr">
        <is>
          <t>N/A</t>
        </is>
      </c>
      <c r="H131" t="inlineStr">
        <is>
          <t>N/A</t>
        </is>
      </c>
      <c r="I131" t="inlineStr">
        <is>
          <t>Vendor Capability Tracking</t>
        </is>
      </c>
      <c r="J131" t="inlineStr">
        <is>
          <t>Not Started</t>
        </is>
      </c>
    </row>
    <row r="132">
      <c r="A132" t="inlineStr">
        <is>
          <t>2026-04-24</t>
        </is>
      </c>
      <c r="B132" t="inlineStr">
        <is>
          <t>2026-0424-015</t>
        </is>
      </c>
      <c r="C132" t="inlineStr">
        <is>
          <t>MITRE ATLAS AI Service API Technique (AML.T0096) - SesameOp Case Study Promoted</t>
        </is>
      </c>
      <c r="D132" t="inlineStr">
        <is>
          <t>N/A</t>
        </is>
      </c>
      <c r="F132" t="inlineStr">
        <is>
          <t>N/A</t>
        </is>
      </c>
      <c r="G132" t="inlineStr">
        <is>
          <t>N/A</t>
        </is>
      </c>
      <c r="H132" t="inlineStr">
        <is>
          <t>N/A</t>
        </is>
      </c>
      <c r="I132" t="inlineStr">
        <is>
          <t>Threat Intelligence</t>
        </is>
      </c>
      <c r="J132" t="inlineStr">
        <is>
          <t>Not Started</t>
        </is>
      </c>
    </row>
    <row r="133">
      <c r="A133" t="inlineStr">
        <is>
          <t>2026-04-24</t>
        </is>
      </c>
      <c r="B133" t="inlineStr">
        <is>
          <t>2026-0424-016</t>
        </is>
      </c>
      <c r="C133" t="inlineStr">
        <is>
          <t>NIST SP 800-53 COSAiS Control Overlays for AI - Q3 2026 Draft Window</t>
        </is>
      </c>
      <c r="D133" t="inlineStr">
        <is>
          <t>N/A</t>
        </is>
      </c>
      <c r="F133" t="inlineStr">
        <is>
          <t>N/A</t>
        </is>
      </c>
      <c r="G133" t="inlineStr">
        <is>
          <t>N/A</t>
        </is>
      </c>
      <c r="H133" t="inlineStr">
        <is>
          <t>N/A</t>
        </is>
      </c>
      <c r="I133" t="inlineStr">
        <is>
          <t>Regulatory Alignment</t>
        </is>
      </c>
      <c r="J133" t="inlineStr">
        <is>
          <t>Not Started</t>
        </is>
      </c>
    </row>
    <row r="134">
      <c r="A134" t="inlineStr">
        <is>
          <t>2026-04-24</t>
        </is>
      </c>
      <c r="B134" t="inlineStr">
        <is>
          <t>2026-0424-017</t>
        </is>
      </c>
      <c r="C134" t="inlineStr">
        <is>
          <t>LiteLLM Security Hardening - CVE-2026-30623 Fixed in v1.83.6-nightly / v1.83.7-stable</t>
        </is>
      </c>
      <c r="D134" t="inlineStr">
        <is>
          <t>Risky Administrators</t>
        </is>
      </c>
      <c r="F134" t="inlineStr">
        <is>
          <t>Unpatched Toolchain</t>
        </is>
      </c>
      <c r="G134" t="inlineStr">
        <is>
          <t>Model Development Toolchain</t>
        </is>
      </c>
      <c r="H134" t="inlineStr">
        <is>
          <t>SR2 - System Compromise</t>
        </is>
      </c>
      <c r="I134" t="inlineStr">
        <is>
          <t>Patch Management</t>
        </is>
      </c>
      <c r="J134" t="inlineStr">
        <is>
          <t>Not Started</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D31"/>
  <sheetViews>
    <sheetView zoomScaleNormal="100" workbookViewId="0">
      <selection activeCell="A1" sqref="A1:D1"/>
    </sheetView>
  </sheetViews>
  <sheetFormatPr baseColWidth="8" defaultColWidth="8.6328125" defaultRowHeight="14.5"/>
  <cols>
    <col width="30" customWidth="1" min="1" max="1"/>
    <col width="12" customWidth="1" min="2" max="2"/>
  </cols>
  <sheetData>
    <row r="1" ht="32.75" customHeight="1">
      <c r="A1" s="1" t="inlineStr">
        <is>
          <t>SAI Cloud Secure - Daily Cyber Intelligence Tracker</t>
        </is>
      </c>
    </row>
    <row r="2"/>
    <row r="3">
      <c r="A3" s="14" t="inlineStr">
        <is>
          <t>Report Date:</t>
        </is>
      </c>
      <c r="B3" t="inlineStr">
        <is>
          <t>2026-04-24</t>
        </is>
      </c>
    </row>
    <row r="4"/>
    <row r="5">
      <c r="A5" s="15" t="inlineStr">
        <is>
          <t>SUMMARY BY CATEGORY</t>
        </is>
      </c>
    </row>
    <row r="6">
      <c r="A6" t="inlineStr">
        <is>
          <t>AI/LLM Threat</t>
        </is>
      </c>
      <c r="B6">
        <f>COUNTIF('Daily Summary'!C:C,"AI/LLM Threat")</f>
        <v/>
      </c>
    </row>
    <row r="7">
      <c r="A7" t="inlineStr">
        <is>
          <t>Supply Chain</t>
        </is>
      </c>
      <c r="B7">
        <f>COUNTIF('Daily Summary'!C:C,"Supply Chain")</f>
        <v/>
      </c>
    </row>
    <row r="8">
      <c r="A8" t="inlineStr">
        <is>
          <t>Cloud Security</t>
        </is>
      </c>
      <c r="B8">
        <f>COUNTIF('Daily Summary'!C:C,"Cloud Security")</f>
        <v/>
      </c>
    </row>
    <row r="9">
      <c r="A9" t="inlineStr">
        <is>
          <t>General Cyber</t>
        </is>
      </c>
      <c r="B9">
        <f>COUNTIF('Daily Summary'!C:C,"General Cyber")</f>
        <v/>
      </c>
    </row>
    <row r="10">
      <c r="A10" t="inlineStr">
        <is>
          <t>Research</t>
        </is>
      </c>
      <c r="B10">
        <f>COUNTIF('Daily Summary'!C:C,"Research")</f>
        <v/>
      </c>
    </row>
    <row r="11">
      <c r="A11" t="inlineStr">
        <is>
          <t>Red Teaming</t>
        </is>
      </c>
      <c r="B11">
        <f>COUNTIF('Daily Summary'!C:C,"Red Teaming")</f>
        <v/>
      </c>
    </row>
    <row r="12">
      <c r="A12" s="15" t="inlineStr">
        <is>
          <t>SUMMARY BY SEVERITY</t>
        </is>
      </c>
    </row>
    <row r="13">
      <c r="A13" t="inlineStr">
        <is>
          <t>CRITICAL</t>
        </is>
      </c>
      <c r="B13">
        <f>COUNTIF('Daily Summary'!G:G,"CRITICAL")</f>
        <v/>
      </c>
    </row>
    <row r="14">
      <c r="A14" t="inlineStr">
        <is>
          <t>HIGH</t>
        </is>
      </c>
      <c r="B14">
        <f>COUNTIF('Daily Summary'!G:G,"HIGH")</f>
        <v/>
      </c>
    </row>
    <row r="15">
      <c r="A15" t="inlineStr">
        <is>
          <t>MEDIUM</t>
        </is>
      </c>
      <c r="B15">
        <f>COUNTIF('Daily Summary'!G:G,"MEDIUM")</f>
        <v/>
      </c>
    </row>
    <row r="16">
      <c r="A16" t="inlineStr">
        <is>
          <t>LOW</t>
        </is>
      </c>
      <c r="B16">
        <f>COUNTIF('Daily Summary'!G:G,"LOW")</f>
        <v/>
      </c>
    </row>
    <row r="17">
      <c r="A17" t="inlineStr">
        <is>
          <t>INFO</t>
        </is>
      </c>
      <c r="B17">
        <f>COUNTIF('Daily Summary'!G:G,"INFO")</f>
        <v/>
      </c>
    </row>
    <row r="18"/>
    <row r="19">
      <c r="A19" s="15" t="inlineStr">
        <is>
          <t>SUMMARY BY AI RMF FUNCTION</t>
        </is>
      </c>
    </row>
    <row r="20">
      <c r="A20" t="inlineStr">
        <is>
          <t>Govern</t>
        </is>
      </c>
      <c r="B20">
        <f>COUNTIF('Daily Summary'!L:L,"Govern")</f>
        <v/>
      </c>
    </row>
    <row r="21">
      <c r="A21" t="inlineStr">
        <is>
          <t>Map</t>
        </is>
      </c>
      <c r="B21">
        <f>COUNTIF('Daily Summary'!L:L,"Map")</f>
        <v/>
      </c>
    </row>
    <row r="22">
      <c r="A22" t="inlineStr">
        <is>
          <t>Measure</t>
        </is>
      </c>
      <c r="B22">
        <f>COUNTIF('Daily Summary'!L:L,"Measure")</f>
        <v/>
      </c>
    </row>
    <row r="23">
      <c r="A23" t="inlineStr">
        <is>
          <t>Manage</t>
        </is>
      </c>
      <c r="B23">
        <f>COUNTIF('Daily Summary'!L:L,"Manage")</f>
        <v/>
      </c>
    </row>
    <row r="24"/>
    <row r="25"/>
    <row r="26">
      <c r="A26" s="15" t="inlineStr">
        <is>
          <t>RESPONSE ACTION SUMMARY</t>
        </is>
      </c>
    </row>
    <row r="27">
      <c r="A27" t="inlineStr">
        <is>
          <t>Investigate</t>
        </is>
      </c>
      <c r="B27">
        <f>COUNTIF('Daily Summary'!Q:Q,"Investigate")</f>
        <v/>
      </c>
    </row>
    <row r="28">
      <c r="A28" t="inlineStr">
        <is>
          <t>Monitor</t>
        </is>
      </c>
      <c r="B28">
        <f>COUNTIF('Daily Summary'!Q:Q,"Monitor")</f>
        <v/>
      </c>
    </row>
    <row r="29">
      <c r="A29" t="inlineStr">
        <is>
          <t>Escalate</t>
        </is>
      </c>
      <c r="B29">
        <f>COUNTIF('Daily Summary'!Q:Q,"Escalate")</f>
        <v/>
      </c>
    </row>
    <row r="30">
      <c r="A30" t="inlineStr">
        <is>
          <t>Dismiss</t>
        </is>
      </c>
      <c r="B30">
        <f>COUNTIF('Daily Summary'!Q:Q,"Dismiss")</f>
        <v/>
      </c>
    </row>
    <row r="31">
      <c r="A31" t="inlineStr">
        <is>
          <t>N/A</t>
        </is>
      </c>
      <c r="B31">
        <f>COUNTIF('Daily Summary'!Q:Q,"N/A")</f>
        <v/>
      </c>
    </row>
  </sheetData>
  <mergeCells count="1">
    <mergeCell ref="A1:D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2026-04-07T11:54:15Z</dcterms:created>
  <dcterms:modified xmlns:dcterms="http://purl.org/dc/terms/" xmlns:xsi="http://www.w3.org/2001/XMLSchema-instance" xsi:type="dcterms:W3CDTF">2026-04-24T12:08:13Z</dcterms:modified>
  <cp:lastModifiedBy>Keith Patterson</cp:lastModifiedBy>
  <cp:revision>0</cp:revision>
</cp:coreProperties>
</file>